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Medical dataset\"/>
    </mc:Choice>
  </mc:AlternateContent>
  <xr:revisionPtr revIDLastSave="0" documentId="13_ncr:1_{7089B6CC-F602-440F-B7FB-28600F3F9ECD}" xr6:coauthVersionLast="47" xr6:coauthVersionMax="47" xr10:uidLastSave="{00000000-0000-0000-0000-000000000000}"/>
  <bookViews>
    <workbookView xWindow="-108" yWindow="-108" windowWidth="23256" windowHeight="13176" tabRatio="797" firstSheet="3" activeTab="7" xr2:uid="{C21B2B5E-035D-46A6-9223-7491792EC7A4}"/>
  </bookViews>
  <sheets>
    <sheet name="Daily_Revenue_Trend" sheetId="8" r:id="rId1"/>
    <sheet name="Monthly_Revenue_Summary" sheetId="9" r:id="rId2"/>
    <sheet name="Top10_Medicines_Revenue" sheetId="10" r:id="rId3"/>
    <sheet name="Top10_Medicines_Quantity" sheetId="11" r:id="rId4"/>
    <sheet name="Key_Stats_Value" sheetId="16" r:id="rId5"/>
    <sheet name="ABC_Analysis_of_Medicines" sheetId="12" r:id="rId6"/>
    <sheet name="Medicine_Stock_Analysis" sheetId="14" r:id="rId7"/>
    <sheet name="shri_balaji_pharmacy_dataset" sheetId="1" r:id="rId8"/>
  </sheets>
  <calcPr calcId="191029"/>
  <pivotCaches>
    <pivotCache cacheId="0" r:id="rId9"/>
    <pivotCache cacheId="1" r:id="rId10"/>
    <pivotCache cacheId="2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2" i="1" l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2" i="1"/>
  <c r="I6" i="12"/>
  <c r="I5" i="12"/>
  <c r="I4" i="12"/>
  <c r="E4" i="12"/>
  <c r="D4" i="12"/>
  <c r="D5" i="12" s="1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4" i="12"/>
  <c r="E5" i="12" l="1"/>
  <c r="D6" i="12"/>
  <c r="E6" i="12" l="1"/>
  <c r="D7" i="12"/>
  <c r="D8" i="12" l="1"/>
  <c r="E7" i="12"/>
  <c r="D9" i="12" l="1"/>
  <c r="E8" i="12"/>
  <c r="D10" i="12" l="1"/>
  <c r="E9" i="12"/>
  <c r="D11" i="12" l="1"/>
  <c r="E10" i="12"/>
  <c r="D12" i="12" l="1"/>
  <c r="E11" i="12"/>
  <c r="D13" i="12" l="1"/>
  <c r="E12" i="12"/>
  <c r="D14" i="12" l="1"/>
  <c r="E13" i="12"/>
  <c r="D15" i="12" l="1"/>
  <c r="E14" i="12"/>
  <c r="D16" i="12" l="1"/>
  <c r="E15" i="12"/>
  <c r="D17" i="12" l="1"/>
  <c r="E16" i="12"/>
  <c r="D18" i="12" l="1"/>
  <c r="E17" i="12"/>
  <c r="D19" i="12" l="1"/>
  <c r="E18" i="12"/>
  <c r="D20" i="12" l="1"/>
  <c r="E20" i="12" s="1"/>
  <c r="E19" i="12"/>
</calcChain>
</file>

<file path=xl/sharedStrings.xml><?xml version="1.0" encoding="utf-8"?>
<sst xmlns="http://schemas.openxmlformats.org/spreadsheetml/2006/main" count="6768" uniqueCount="574">
  <si>
    <t>Dated</t>
  </si>
  <si>
    <t>Doctor</t>
  </si>
  <si>
    <t>Purchaser/Patient</t>
  </si>
  <si>
    <t>Qty.</t>
  </si>
  <si>
    <t>Particulars</t>
  </si>
  <si>
    <t>Manufacturing Company</t>
  </si>
  <si>
    <t>Batch No.</t>
  </si>
  <si>
    <t>Expiry Date</t>
  </si>
  <si>
    <t>Amount(Rs.)</t>
  </si>
  <si>
    <t>OTC</t>
  </si>
  <si>
    <t>Amar Burdak</t>
  </si>
  <si>
    <t>Paracetamol 500mg Tablet</t>
  </si>
  <si>
    <t>Cipla</t>
  </si>
  <si>
    <t>PAR0325/25</t>
  </si>
  <si>
    <t>Santosh Rani</t>
  </si>
  <si>
    <t>Ibuprofen 400mg Tablet</t>
  </si>
  <si>
    <t>Sun Pharma</t>
  </si>
  <si>
    <t>IBU1224A</t>
  </si>
  <si>
    <t>Dr. Anshul Sehgal</t>
  </si>
  <si>
    <t>Sanjay Riwar</t>
  </si>
  <si>
    <t>Amoxicillin 250mg Capsule</t>
  </si>
  <si>
    <t>Dr. Reddyâ€™s</t>
  </si>
  <si>
    <t>AMO0425/25</t>
  </si>
  <si>
    <t>Dr. Ramphal Dhaka</t>
  </si>
  <si>
    <t>Balbir Fageria</t>
  </si>
  <si>
    <t>Cetirizine 10mg Tablet</t>
  </si>
  <si>
    <t>Zydus Cadila</t>
  </si>
  <si>
    <t>CET0425B</t>
  </si>
  <si>
    <t>Metformin 500mg Tablet</t>
  </si>
  <si>
    <t>Lupin</t>
  </si>
  <si>
    <t>MET0125X</t>
  </si>
  <si>
    <t>Dr. Geeta Choudhary</t>
  </si>
  <si>
    <t>Shyam Sunder</t>
  </si>
  <si>
    <t>Amlodipine 5mg Tablet</t>
  </si>
  <si>
    <t>Torrent Pharma</t>
  </si>
  <si>
    <t>AML0125A</t>
  </si>
  <si>
    <t>Atenolol 50mg Tablet</t>
  </si>
  <si>
    <t>Alkem Laboratories</t>
  </si>
  <si>
    <t>ATE1224X</t>
  </si>
  <si>
    <t>Dr. Vinay Singla</t>
  </si>
  <si>
    <t>Krishan Singh</t>
  </si>
  <si>
    <t>Salbutamol 4mg Tablet</t>
  </si>
  <si>
    <t>SAL0125A</t>
  </si>
  <si>
    <t>Dr. Sameer Tuteja</t>
  </si>
  <si>
    <t>Dinesh Sharma</t>
  </si>
  <si>
    <t>Doxycycline 100mg Capsule</t>
  </si>
  <si>
    <t>DOX0325A</t>
  </si>
  <si>
    <t>Dr. Kamaljeet Sambhyl</t>
  </si>
  <si>
    <t>Manisha Rani</t>
  </si>
  <si>
    <t>Pantoprazole 40mg Tablet</t>
  </si>
  <si>
    <t>Mankind Pharma</t>
  </si>
  <si>
    <t>PAN0125X</t>
  </si>
  <si>
    <t>Crocin 500mg Tablet</t>
  </si>
  <si>
    <t>GSK India</t>
  </si>
  <si>
    <t>CRO0125C</t>
  </si>
  <si>
    <t>Sube Ram</t>
  </si>
  <si>
    <t>Eno Sachet</t>
  </si>
  <si>
    <t>ENO0225/25</t>
  </si>
  <si>
    <t>Dr. Amit Narang</t>
  </si>
  <si>
    <t>Sumit Kumar</t>
  </si>
  <si>
    <t>Betadine 10g Ointment</t>
  </si>
  <si>
    <t>Sanofi India</t>
  </si>
  <si>
    <t>BET0125/25</t>
  </si>
  <si>
    <t>Albendazole 400mg Tablet</t>
  </si>
  <si>
    <t>ALB0325C</t>
  </si>
  <si>
    <t>Dr. HC Dahiya</t>
  </si>
  <si>
    <t>Naresh Didharia</t>
  </si>
  <si>
    <t>Oxytetracycline 250mg Tablet</t>
  </si>
  <si>
    <t>Pfizer India</t>
  </si>
  <si>
    <t>OXY0425/25</t>
  </si>
  <si>
    <t>Hari Singh</t>
  </si>
  <si>
    <t>Enrofloxacin 150mg Tablet</t>
  </si>
  <si>
    <t>Abbott India</t>
  </si>
  <si>
    <t>ENR0225A</t>
  </si>
  <si>
    <t>Brijlalal Dhaka</t>
  </si>
  <si>
    <t>Ivermectin 12mg Tablet</t>
  </si>
  <si>
    <t>IVE1224C</t>
  </si>
  <si>
    <t>PAR1224C</t>
  </si>
  <si>
    <t>Shishpal Sharma</t>
  </si>
  <si>
    <t>IBU0425/25</t>
  </si>
  <si>
    <t>Dr. Virender Siwach</t>
  </si>
  <si>
    <t>AMO0225/25</t>
  </si>
  <si>
    <t>CET0225/25</t>
  </si>
  <si>
    <t>Ravi Dhaka</t>
  </si>
  <si>
    <t>MET0425X</t>
  </si>
  <si>
    <t>Dr. Manohar Pahuja</t>
  </si>
  <si>
    <t>AML0225X</t>
  </si>
  <si>
    <t>ATE0125X</t>
  </si>
  <si>
    <t>Mandeep Kumar</t>
  </si>
  <si>
    <t>SAL0225B</t>
  </si>
  <si>
    <t>Dr. Rajesh Batra</t>
  </si>
  <si>
    <t>DOX1224/25</t>
  </si>
  <si>
    <t>Dr. Renu Bansal</t>
  </si>
  <si>
    <t>PAN1224A</t>
  </si>
  <si>
    <t>CRO0225X</t>
  </si>
  <si>
    <t>ENO0325C</t>
  </si>
  <si>
    <t>BET0125C</t>
  </si>
  <si>
    <t>Dr. Satbir Khumber</t>
  </si>
  <si>
    <t>ALB0225X</t>
  </si>
  <si>
    <t>Amit Dhaka</t>
  </si>
  <si>
    <t>OXY1224C</t>
  </si>
  <si>
    <t>Mohit Chaberwal</t>
  </si>
  <si>
    <t>ENR0325/25</t>
  </si>
  <si>
    <t>Radhe Shaym</t>
  </si>
  <si>
    <t>IVE0125A</t>
  </si>
  <si>
    <t>PAR0125C</t>
  </si>
  <si>
    <t>IBU0225X</t>
  </si>
  <si>
    <t>Randhir Fageria</t>
  </si>
  <si>
    <t>AMO0425C</t>
  </si>
  <si>
    <t>CET0125/25</t>
  </si>
  <si>
    <t>MET0125C</t>
  </si>
  <si>
    <t>AML0425C</t>
  </si>
  <si>
    <t>Naseeb Khakhal</t>
  </si>
  <si>
    <t>ATE0125A</t>
  </si>
  <si>
    <t>DOX0325C</t>
  </si>
  <si>
    <t>PAN0325/25</t>
  </si>
  <si>
    <t>CRO0325B</t>
  </si>
  <si>
    <t>ENO1224/25</t>
  </si>
  <si>
    <t>BET0125A</t>
  </si>
  <si>
    <t>Ramkla Devi</t>
  </si>
  <si>
    <t>ALB0225C</t>
  </si>
  <si>
    <t>OXY0125C</t>
  </si>
  <si>
    <t>ENR0125C</t>
  </si>
  <si>
    <t>IVE0125X</t>
  </si>
  <si>
    <t>PAR0125A</t>
  </si>
  <si>
    <t>Ankit Bhadu</t>
  </si>
  <si>
    <t>IBU0125X</t>
  </si>
  <si>
    <t>AMO0225C</t>
  </si>
  <si>
    <t>Umesh Kumar</t>
  </si>
  <si>
    <t>CET0425/25</t>
  </si>
  <si>
    <t>MET0325/25</t>
  </si>
  <si>
    <t>Kuldeep Singh</t>
  </si>
  <si>
    <t>AML1224/25</t>
  </si>
  <si>
    <t>ATE0425B</t>
  </si>
  <si>
    <t>SAL0325/25</t>
  </si>
  <si>
    <t>DOX0225/25</t>
  </si>
  <si>
    <t>PAN0125A</t>
  </si>
  <si>
    <t>CRO0225C</t>
  </si>
  <si>
    <t>ENO1224X</t>
  </si>
  <si>
    <t>Raman Dhaka</t>
  </si>
  <si>
    <t>BET0325/25</t>
  </si>
  <si>
    <t>ALB0125X</t>
  </si>
  <si>
    <t>OXY0125X</t>
  </si>
  <si>
    <t>ENR0425C</t>
  </si>
  <si>
    <t>IVE0425B</t>
  </si>
  <si>
    <t>PAR0425B</t>
  </si>
  <si>
    <t>AMO0225A</t>
  </si>
  <si>
    <t>CET0125C</t>
  </si>
  <si>
    <t>MET0225C</t>
  </si>
  <si>
    <t>Chander Bhan</t>
  </si>
  <si>
    <t>AML0125X</t>
  </si>
  <si>
    <t>ATE0125/25</t>
  </si>
  <si>
    <t>SAL0125X</t>
  </si>
  <si>
    <t>DOX0125A</t>
  </si>
  <si>
    <t>Ram Kumar</t>
  </si>
  <si>
    <t>CRO1224A</t>
  </si>
  <si>
    <t>ENO0325B</t>
  </si>
  <si>
    <t>BET0325C</t>
  </si>
  <si>
    <t>ALB0325X</t>
  </si>
  <si>
    <t>OXY0325/25</t>
  </si>
  <si>
    <t>ENR0325X</t>
  </si>
  <si>
    <t>PAR0425C</t>
  </si>
  <si>
    <t>Baljinder Singh</t>
  </si>
  <si>
    <t>IBU0325B</t>
  </si>
  <si>
    <t>CET0325B</t>
  </si>
  <si>
    <t>MET0325A</t>
  </si>
  <si>
    <t>ATE0125B</t>
  </si>
  <si>
    <t>SAL0225X</t>
  </si>
  <si>
    <t>DOX1224C</t>
  </si>
  <si>
    <t>PAN0125C</t>
  </si>
  <si>
    <t>Tamanna Dhaka</t>
  </si>
  <si>
    <t>CRO0125/25</t>
  </si>
  <si>
    <t>ENO0225A</t>
  </si>
  <si>
    <t>Yogesh Khicher</t>
  </si>
  <si>
    <t>ALB0425C</t>
  </si>
  <si>
    <t>OXY1224A</t>
  </si>
  <si>
    <t>ENR1224A</t>
  </si>
  <si>
    <t>PAR0225A</t>
  </si>
  <si>
    <t>IBU0125B</t>
  </si>
  <si>
    <t>AMO0325/25</t>
  </si>
  <si>
    <t>Pawan Khakhal</t>
  </si>
  <si>
    <t>AML1224C</t>
  </si>
  <si>
    <t>ATE0225X</t>
  </si>
  <si>
    <t>SAL0225C</t>
  </si>
  <si>
    <t>DOX0425/25</t>
  </si>
  <si>
    <t>PAN0425/25</t>
  </si>
  <si>
    <t>CRO0225A</t>
  </si>
  <si>
    <t>ENO1224B</t>
  </si>
  <si>
    <t>BET0125X</t>
  </si>
  <si>
    <t>ALB1224/25</t>
  </si>
  <si>
    <t>OXY0325X</t>
  </si>
  <si>
    <t>IVE0125C</t>
  </si>
  <si>
    <t>PAR1224A</t>
  </si>
  <si>
    <t>IBU1224B</t>
  </si>
  <si>
    <t>AMO0325C</t>
  </si>
  <si>
    <t>CET0125B</t>
  </si>
  <si>
    <t>MET0225/25</t>
  </si>
  <si>
    <t>ATE0325/25</t>
  </si>
  <si>
    <t>SAL0125/25</t>
  </si>
  <si>
    <t>CRO0325A</t>
  </si>
  <si>
    <t>BET0325A</t>
  </si>
  <si>
    <t>ALB0425B</t>
  </si>
  <si>
    <t>OXY0225X</t>
  </si>
  <si>
    <t>Sita Ram</t>
  </si>
  <si>
    <t>ENR0125/25</t>
  </si>
  <si>
    <t>IVE0325/25</t>
  </si>
  <si>
    <t>PAR0225C</t>
  </si>
  <si>
    <t>IBU0125C</t>
  </si>
  <si>
    <t>AMO1224X</t>
  </si>
  <si>
    <t>CET1224C</t>
  </si>
  <si>
    <t>Sahil Chundwal</t>
  </si>
  <si>
    <t>MET0125B</t>
  </si>
  <si>
    <t>AML0325C</t>
  </si>
  <si>
    <t>ATE1224/25</t>
  </si>
  <si>
    <t>Sumitra Devi</t>
  </si>
  <si>
    <t>DOX0125C</t>
  </si>
  <si>
    <t>ENO0425A</t>
  </si>
  <si>
    <t>BET1224C</t>
  </si>
  <si>
    <t>OXY0425B</t>
  </si>
  <si>
    <t>ENR0425/25</t>
  </si>
  <si>
    <t>IVE0225/25</t>
  </si>
  <si>
    <t>PAR0325C</t>
  </si>
  <si>
    <t>IBU0225A</t>
  </si>
  <si>
    <t>AMO0225B</t>
  </si>
  <si>
    <t>CET0225A</t>
  </si>
  <si>
    <t>AML0325A</t>
  </si>
  <si>
    <t>ATE0425C</t>
  </si>
  <si>
    <t>DOX0325X</t>
  </si>
  <si>
    <t>PAN0125/25</t>
  </si>
  <si>
    <t>ENO0125A</t>
  </si>
  <si>
    <t>BET0425/25</t>
  </si>
  <si>
    <t>ALB0125B</t>
  </si>
  <si>
    <t>OXY1224B</t>
  </si>
  <si>
    <t>IBU0225/25</t>
  </si>
  <si>
    <t>CET0425C</t>
  </si>
  <si>
    <t>MET0225A</t>
  </si>
  <si>
    <t>AML1224X</t>
  </si>
  <si>
    <t>ATE1224C</t>
  </si>
  <si>
    <t>SAL0425C</t>
  </si>
  <si>
    <t>DOX1224A</t>
  </si>
  <si>
    <t>ENO0125C</t>
  </si>
  <si>
    <t>ALB0225/25</t>
  </si>
  <si>
    <t>ENR0225B</t>
  </si>
  <si>
    <t>IVE1224/25</t>
  </si>
  <si>
    <t>IBU0425X</t>
  </si>
  <si>
    <t>AMO1224B</t>
  </si>
  <si>
    <t>CET1224X</t>
  </si>
  <si>
    <t>MET0125/25</t>
  </si>
  <si>
    <t>AML0125C</t>
  </si>
  <si>
    <t>ATE0225B</t>
  </si>
  <si>
    <t>SAL0425/25</t>
  </si>
  <si>
    <t>PAN0125B</t>
  </si>
  <si>
    <t>BET1224A</t>
  </si>
  <si>
    <t>ALB1224B</t>
  </si>
  <si>
    <t>OXY0125/25</t>
  </si>
  <si>
    <t>ENR1224B</t>
  </si>
  <si>
    <t>PAR0225B</t>
  </si>
  <si>
    <t>IBU1224/25</t>
  </si>
  <si>
    <t>AMO0125X</t>
  </si>
  <si>
    <t>AML0325/25</t>
  </si>
  <si>
    <t>DOX0225C</t>
  </si>
  <si>
    <t>ALB0325A</t>
  </si>
  <si>
    <t>IVE0325B</t>
  </si>
  <si>
    <t>PAR0225/25</t>
  </si>
  <si>
    <t>DOX0225X</t>
  </si>
  <si>
    <t>PAN0225X</t>
  </si>
  <si>
    <t>ALB1224C</t>
  </si>
  <si>
    <t>ENR0325C</t>
  </si>
  <si>
    <t>IVE0325A</t>
  </si>
  <si>
    <t>CET0225C</t>
  </si>
  <si>
    <t>ATE0225A</t>
  </si>
  <si>
    <t>SAL1224/25</t>
  </si>
  <si>
    <t>PAN0225B</t>
  </si>
  <si>
    <t>CRO0425C</t>
  </si>
  <si>
    <t>ENO0425C</t>
  </si>
  <si>
    <t>ALB0225A</t>
  </si>
  <si>
    <t>OXY0325B</t>
  </si>
  <si>
    <t>PAR0325B</t>
  </si>
  <si>
    <t>MET0225B</t>
  </si>
  <si>
    <t>AML0225/25</t>
  </si>
  <si>
    <t>ATE0325B</t>
  </si>
  <si>
    <t>SAL1224X</t>
  </si>
  <si>
    <t>PAN0225C</t>
  </si>
  <si>
    <t>CRO0225B</t>
  </si>
  <si>
    <t>ALB0425/25</t>
  </si>
  <si>
    <t>OXY1224/25</t>
  </si>
  <si>
    <t>ENR0125A</t>
  </si>
  <si>
    <t>CET0325C</t>
  </si>
  <si>
    <t>AML0425A</t>
  </si>
  <si>
    <t>ATE0425X</t>
  </si>
  <si>
    <t>PAN0325B</t>
  </si>
  <si>
    <t>ENO0425/25</t>
  </si>
  <si>
    <t>BET0225X</t>
  </si>
  <si>
    <t>ALB0125/25</t>
  </si>
  <si>
    <t>PAR0425X</t>
  </si>
  <si>
    <t>IBU0125/25</t>
  </si>
  <si>
    <t>CET1224/25</t>
  </si>
  <si>
    <t>MET1224C</t>
  </si>
  <si>
    <t>AML0325B</t>
  </si>
  <si>
    <t>ATE1224B</t>
  </si>
  <si>
    <t>PAN0225A</t>
  </si>
  <si>
    <t>ENO0325A</t>
  </si>
  <si>
    <t>BET1224B</t>
  </si>
  <si>
    <t>ENR1224C</t>
  </si>
  <si>
    <t>ATE0225/25</t>
  </si>
  <si>
    <t>SAL0425A</t>
  </si>
  <si>
    <t>DOX0425B</t>
  </si>
  <si>
    <t>PAN0425B</t>
  </si>
  <si>
    <t>OXY0125B</t>
  </si>
  <si>
    <t>ENR0125B</t>
  </si>
  <si>
    <t>IVE0425X</t>
  </si>
  <si>
    <t>PAR0125X</t>
  </si>
  <si>
    <t>CET0225B</t>
  </si>
  <si>
    <t>MET0325X</t>
  </si>
  <si>
    <t>SAL0425B</t>
  </si>
  <si>
    <t>CRO0425A</t>
  </si>
  <si>
    <t>OXY0325C</t>
  </si>
  <si>
    <t>ENR0225/25</t>
  </si>
  <si>
    <t>IVE0325C</t>
  </si>
  <si>
    <t>AMO0325A</t>
  </si>
  <si>
    <t>PAN0325C</t>
  </si>
  <si>
    <t>CRO0425X</t>
  </si>
  <si>
    <t>ENO0225X</t>
  </si>
  <si>
    <t>BET0225A</t>
  </si>
  <si>
    <t>MET0125A</t>
  </si>
  <si>
    <t>PAN0425C</t>
  </si>
  <si>
    <t>CRO0425/25</t>
  </si>
  <si>
    <t>ENO0325/25</t>
  </si>
  <si>
    <t>BET0425B</t>
  </si>
  <si>
    <t>ALB0225B</t>
  </si>
  <si>
    <t>IBU0225B</t>
  </si>
  <si>
    <t>AMO0225X</t>
  </si>
  <si>
    <t>MET0225X</t>
  </si>
  <si>
    <t>AML0225B</t>
  </si>
  <si>
    <t>SAL0325B</t>
  </si>
  <si>
    <t>DOX0325B</t>
  </si>
  <si>
    <t>CRO1224/25</t>
  </si>
  <si>
    <t>ENO0425B</t>
  </si>
  <si>
    <t>BET0425C</t>
  </si>
  <si>
    <t>OXY0225B</t>
  </si>
  <si>
    <t>ENR0425X</t>
  </si>
  <si>
    <t>IBU1224C</t>
  </si>
  <si>
    <t>CET0325X</t>
  </si>
  <si>
    <t>MET1224/25</t>
  </si>
  <si>
    <t>ATE1224A</t>
  </si>
  <si>
    <t>PAN0425A</t>
  </si>
  <si>
    <t>BET1224/25</t>
  </si>
  <si>
    <t>ENR0125X</t>
  </si>
  <si>
    <t>IVE0125/25</t>
  </si>
  <si>
    <t>CET0425X</t>
  </si>
  <si>
    <t>CRO0425B</t>
  </si>
  <si>
    <t>OXY0225/25</t>
  </si>
  <si>
    <t>IVE1224A</t>
  </si>
  <si>
    <t>IBU0325C</t>
  </si>
  <si>
    <t>MET0425C</t>
  </si>
  <si>
    <t>SAL1224C</t>
  </si>
  <si>
    <t>DOX0125B</t>
  </si>
  <si>
    <t>BET0225/25</t>
  </si>
  <si>
    <t>IVE0225B</t>
  </si>
  <si>
    <t>PAR1224/25</t>
  </si>
  <si>
    <t>CET0125A</t>
  </si>
  <si>
    <t>AML0125/25</t>
  </si>
  <si>
    <t>ATE0125C</t>
  </si>
  <si>
    <t>SAL0225/25</t>
  </si>
  <si>
    <t>CRO1224C</t>
  </si>
  <si>
    <t>BET0225C</t>
  </si>
  <si>
    <t>ENR0325B</t>
  </si>
  <si>
    <t>IVE1224X</t>
  </si>
  <si>
    <t>PAR0125B</t>
  </si>
  <si>
    <t>IBU0425A</t>
  </si>
  <si>
    <t>CET0225X</t>
  </si>
  <si>
    <t>AML0425/25</t>
  </si>
  <si>
    <t>SAL0325C</t>
  </si>
  <si>
    <t>PAN0325X</t>
  </si>
  <si>
    <t>AMO1224A</t>
  </si>
  <si>
    <t>MET0425B</t>
  </si>
  <si>
    <t>ALB0325B</t>
  </si>
  <si>
    <t>ENR1224X</t>
  </si>
  <si>
    <t>AML0225A</t>
  </si>
  <si>
    <t>SAL0325A</t>
  </si>
  <si>
    <t>CRO0325X</t>
  </si>
  <si>
    <t>ENO0125B</t>
  </si>
  <si>
    <t>AMO0325B</t>
  </si>
  <si>
    <t>MET1224A</t>
  </si>
  <si>
    <t>SAL0125C</t>
  </si>
  <si>
    <t>PAN0325A</t>
  </si>
  <si>
    <t>CRO0325C</t>
  </si>
  <si>
    <t>IVE0225C</t>
  </si>
  <si>
    <t>IBU1224X</t>
  </si>
  <si>
    <t>CET0325/25</t>
  </si>
  <si>
    <t>MET1224B</t>
  </si>
  <si>
    <t>PAN1224X</t>
  </si>
  <si>
    <t>CRO0125A</t>
  </si>
  <si>
    <t>BET0325X</t>
  </si>
  <si>
    <t>ALB1224A</t>
  </si>
  <si>
    <t>OXY0425A</t>
  </si>
  <si>
    <t>SAL0225A</t>
  </si>
  <si>
    <t>DOX0325/25</t>
  </si>
  <si>
    <t>ALB0125C</t>
  </si>
  <si>
    <t>ENR0225X</t>
  </si>
  <si>
    <t>IBU0325X</t>
  </si>
  <si>
    <t>AML0225C</t>
  </si>
  <si>
    <t>ALB0425A</t>
  </si>
  <si>
    <t>IVE0325X</t>
  </si>
  <si>
    <t>IBU0425C</t>
  </si>
  <si>
    <t>AML1224A</t>
  </si>
  <si>
    <t>BET0325B</t>
  </si>
  <si>
    <t>IBU0325A</t>
  </si>
  <si>
    <t>ATE0225C</t>
  </si>
  <si>
    <t>SAL1224A</t>
  </si>
  <si>
    <t>PAN1224/25</t>
  </si>
  <si>
    <t>OXY0325A</t>
  </si>
  <si>
    <t>PAR0425A</t>
  </si>
  <si>
    <t>AMO0125A</t>
  </si>
  <si>
    <t>CET0325A</t>
  </si>
  <si>
    <t>MET0325B</t>
  </si>
  <si>
    <t>DOX0125/25</t>
  </si>
  <si>
    <t>ENO0125/25</t>
  </si>
  <si>
    <t>BET1224X</t>
  </si>
  <si>
    <t>AML0125B</t>
  </si>
  <si>
    <t>ENO1224A</t>
  </si>
  <si>
    <t>OXY1224X</t>
  </si>
  <si>
    <t>OXY0425X</t>
  </si>
  <si>
    <t>IVE0425C</t>
  </si>
  <si>
    <t>PAR1224B</t>
  </si>
  <si>
    <t>OXY0125A</t>
  </si>
  <si>
    <t>ENR0225C</t>
  </si>
  <si>
    <t>ENR1224/25</t>
  </si>
  <si>
    <t>ATE0425/25</t>
  </si>
  <si>
    <t>ENO0125X</t>
  </si>
  <si>
    <t>BET0425A</t>
  </si>
  <si>
    <t>ALB1224X</t>
  </si>
  <si>
    <t>AMO0425A</t>
  </si>
  <si>
    <t>CRO0125B</t>
  </si>
  <si>
    <t>IVE0425/25</t>
  </si>
  <si>
    <t>AML0325X</t>
  </si>
  <si>
    <t>AMO0425B</t>
  </si>
  <si>
    <t>AMO0125/25</t>
  </si>
  <si>
    <t>SAL0325X</t>
  </si>
  <si>
    <t>AMO0125C</t>
  </si>
  <si>
    <t>ATE0325C</t>
  </si>
  <si>
    <t>SAL0425X</t>
  </si>
  <si>
    <t>CRO1224X</t>
  </si>
  <si>
    <t>BET0425X</t>
  </si>
  <si>
    <t>PAR0225X</t>
  </si>
  <si>
    <t>DOX0225A</t>
  </si>
  <si>
    <t>ENO0325X</t>
  </si>
  <si>
    <t>IBU0425B</t>
  </si>
  <si>
    <t>AMO0325X</t>
  </si>
  <si>
    <t>PAN1224B</t>
  </si>
  <si>
    <t>SAL1224B</t>
  </si>
  <si>
    <t>OXY0425C</t>
  </si>
  <si>
    <t>PAR0125/25</t>
  </si>
  <si>
    <t>PAN0425X</t>
  </si>
  <si>
    <t>ENO0225B</t>
  </si>
  <si>
    <t>ALB0425X</t>
  </si>
  <si>
    <t>ALB0325/25</t>
  </si>
  <si>
    <t>IBU0325/25</t>
  </si>
  <si>
    <t>DOX0425X</t>
  </si>
  <si>
    <t>PAR0425/25</t>
  </si>
  <si>
    <t>AMO1224C</t>
  </si>
  <si>
    <t>MET0425/25</t>
  </si>
  <si>
    <t>03-13-2025</t>
  </si>
  <si>
    <t>01-13-2025</t>
  </si>
  <si>
    <t>01-14-2025</t>
  </si>
  <si>
    <t>01-15-2025</t>
  </si>
  <si>
    <t>01-16-2025</t>
  </si>
  <si>
    <t>01-17-2025</t>
  </si>
  <si>
    <t>01-18-2025</t>
  </si>
  <si>
    <t>01-19-2025</t>
  </si>
  <si>
    <t>01-20-2025</t>
  </si>
  <si>
    <t>01-21-2025</t>
  </si>
  <si>
    <t>01-22-2025</t>
  </si>
  <si>
    <t>01-23-2025</t>
  </si>
  <si>
    <t>01-24-2025</t>
  </si>
  <si>
    <t>01-25-2025</t>
  </si>
  <si>
    <t>01-26-2025</t>
  </si>
  <si>
    <t>01-27-2025</t>
  </si>
  <si>
    <t>01-28-2025</t>
  </si>
  <si>
    <t>01-29-2025</t>
  </si>
  <si>
    <t>01-30-2025</t>
  </si>
  <si>
    <t>01-31-2025</t>
  </si>
  <si>
    <t>02-13-2025</t>
  </si>
  <si>
    <t>02-14-2025</t>
  </si>
  <si>
    <t>02-15-2025</t>
  </si>
  <si>
    <t>02-16-2025</t>
  </si>
  <si>
    <t>02-17-2025</t>
  </si>
  <si>
    <t>02-18-2025</t>
  </si>
  <si>
    <t>02-19-2025</t>
  </si>
  <si>
    <t>02-20-2025</t>
  </si>
  <si>
    <t>02-21-2025</t>
  </si>
  <si>
    <t>02-22-2025</t>
  </si>
  <si>
    <t>02-23-2025</t>
  </si>
  <si>
    <t>02-24-2025</t>
  </si>
  <si>
    <t>02-25-2025</t>
  </si>
  <si>
    <t>02-26-2025</t>
  </si>
  <si>
    <t>02-27-2025</t>
  </si>
  <si>
    <t>02-28-2025</t>
  </si>
  <si>
    <t>03-14-2025</t>
  </si>
  <si>
    <t>03-15-2025</t>
  </si>
  <si>
    <t>03-16-2025</t>
  </si>
  <si>
    <t>03-17-2025</t>
  </si>
  <si>
    <t>03-18-2025</t>
  </si>
  <si>
    <t>03-19-2025</t>
  </si>
  <si>
    <t>03-20-2025</t>
  </si>
  <si>
    <t>03-21-2025</t>
  </si>
  <si>
    <t>03-22-2025</t>
  </si>
  <si>
    <t>03-23-2025</t>
  </si>
  <si>
    <t>03-24-2025</t>
  </si>
  <si>
    <t>03-25-2025</t>
  </si>
  <si>
    <t>03-26-2025</t>
  </si>
  <si>
    <t>03-27-2025</t>
  </si>
  <si>
    <t>03-28-2025</t>
  </si>
  <si>
    <t>03-29-2025</t>
  </si>
  <si>
    <t>03-30-2025</t>
  </si>
  <si>
    <t>03-31-2025</t>
  </si>
  <si>
    <t>04-13-2025</t>
  </si>
  <si>
    <t>04-14-2025</t>
  </si>
  <si>
    <t>04-15-2025</t>
  </si>
  <si>
    <t>04-16-2025</t>
  </si>
  <si>
    <t>04-17-2025</t>
  </si>
  <si>
    <t>04-18-2025</t>
  </si>
  <si>
    <t>04-19-2025</t>
  </si>
  <si>
    <t>04-20-2025</t>
  </si>
  <si>
    <t>04-21-2025</t>
  </si>
  <si>
    <t>04-22-2025</t>
  </si>
  <si>
    <t>04-23-2025</t>
  </si>
  <si>
    <t>04-24-2025</t>
  </si>
  <si>
    <t>04-25-2025</t>
  </si>
  <si>
    <t>04-26-2025</t>
  </si>
  <si>
    <t>04-27-2025</t>
  </si>
  <si>
    <t>04-28-2025</t>
  </si>
  <si>
    <t>04-29-2025</t>
  </si>
  <si>
    <t>04-30-2025</t>
  </si>
  <si>
    <t>Row Labels</t>
  </si>
  <si>
    <t>Grand Total</t>
  </si>
  <si>
    <t>Sum of Amount(Rs.)</t>
  </si>
  <si>
    <t>Month</t>
  </si>
  <si>
    <t>January</t>
  </si>
  <si>
    <t>February</t>
  </si>
  <si>
    <t>March</t>
  </si>
  <si>
    <t>April</t>
  </si>
  <si>
    <t>May</t>
  </si>
  <si>
    <t>Sum of Qty.</t>
  </si>
  <si>
    <t>Percentage</t>
  </si>
  <si>
    <t>Running Total</t>
  </si>
  <si>
    <t>Percent Range</t>
  </si>
  <si>
    <t>A</t>
  </si>
  <si>
    <t>B</t>
  </si>
  <si>
    <t>C</t>
  </si>
  <si>
    <t>blank</t>
  </si>
  <si>
    <t>Total Revenue</t>
  </si>
  <si>
    <t xml:space="preserve"> Class Range</t>
  </si>
  <si>
    <t xml:space="preserve"> ABC</t>
  </si>
  <si>
    <t>Status</t>
  </si>
  <si>
    <t>Column Labels</t>
  </si>
  <si>
    <t>Expired</t>
  </si>
  <si>
    <t>Non-Expired</t>
  </si>
  <si>
    <t>Value</t>
  </si>
  <si>
    <t>Total Revenue (Jan–May 2025)</t>
  </si>
  <si>
    <t>292,759 Rs.</t>
  </si>
  <si>
    <t>Average Daily Revenue</t>
  </si>
  <si>
    <t>1,033.30 Rs.</t>
  </si>
  <si>
    <t>Maximum Daily Revenue</t>
  </si>
  <si>
    <t>8,820 Rs.</t>
  </si>
  <si>
    <t>Minimum Daily Revenue</t>
  </si>
  <si>
    <t>328 Rs.</t>
  </si>
  <si>
    <t>Top Medicine by Revenue</t>
  </si>
  <si>
    <t>Top Medicine Revenue Amount (Rs.)</t>
  </si>
  <si>
    <t>111,840 Rs.</t>
  </si>
  <si>
    <t>Top Medicine by Quantity</t>
  </si>
  <si>
    <t>Top Medicine Quantity Sold</t>
  </si>
  <si>
    <t>1,022 units</t>
  </si>
  <si>
    <t>Key 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</si>
</sst>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42" applyNumberFormat="1" applyFont="1"/>
    <xf numFmtId="10" fontId="0" fillId="0" borderId="0" xfId="0" applyNumberFormat="1"/>
    <xf numFmtId="9" fontId="0" fillId="0" borderId="0" xfId="0" applyNumberFormat="1"/>
    <xf numFmtId="0" fontId="20" fillId="0" borderId="10" xfId="0" applyFont="1" applyBorder="1" applyAlignment="1">
      <alignment horizontal="center" wrapText="1"/>
    </xf>
    <xf numFmtId="0" fontId="20" fillId="0" borderId="11" xfId="0" applyFont="1" applyBorder="1" applyAlignment="1">
      <alignment horizontal="center" wrapText="1"/>
    </xf>
    <xf numFmtId="0" fontId="19" fillId="0" borderId="12" xfId="0" applyFont="1" applyBorder="1" applyAlignment="1">
      <alignment horizontal="center" wrapText="1"/>
    </xf>
    <xf numFmtId="0" fontId="19" fillId="0" borderId="13" xfId="0" applyFont="1" applyBorder="1" applyAlignment="1">
      <alignment horizontal="center" wrapText="1"/>
    </xf>
    <xf numFmtId="0" fontId="20" fillId="0" borderId="14" xfId="0" applyFont="1" applyBorder="1" applyAlignment="1">
      <alignment horizontal="center" wrapText="1"/>
    </xf>
    <xf numFmtId="0" fontId="20" fillId="0" borderId="15" xfId="0" applyFont="1" applyBorder="1" applyAlignment="1">
      <alignment horizont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[shri_balaji_pharmacy_dataset.xlsx]Daily_Revenue_Trend!PivotTable3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Daily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Daily_Revenue_Trend!$B$3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Daily_Revenue_Trend!$A$4:$A$76</c:f>
              <c:strCache>
                <c:ptCount val="72"/>
                <c:pt idx="0">
                  <c:v>01-13-2025</c:v>
                </c:pt>
                <c:pt idx="1">
                  <c:v>01-14-2025</c:v>
                </c:pt>
                <c:pt idx="2">
                  <c:v>01-15-2025</c:v>
                </c:pt>
                <c:pt idx="3">
                  <c:v>01-16-2025</c:v>
                </c:pt>
                <c:pt idx="4">
                  <c:v>01-17-2025</c:v>
                </c:pt>
                <c:pt idx="5">
                  <c:v>01-18-2025</c:v>
                </c:pt>
                <c:pt idx="6">
                  <c:v>01-19-2025</c:v>
                </c:pt>
                <c:pt idx="7">
                  <c:v>01-20-2025</c:v>
                </c:pt>
                <c:pt idx="8">
                  <c:v>01-21-2025</c:v>
                </c:pt>
                <c:pt idx="9">
                  <c:v>01-22-2025</c:v>
                </c:pt>
                <c:pt idx="10">
                  <c:v>01-23-2025</c:v>
                </c:pt>
                <c:pt idx="11">
                  <c:v>01-24-2025</c:v>
                </c:pt>
                <c:pt idx="12">
                  <c:v>01-25-2025</c:v>
                </c:pt>
                <c:pt idx="13">
                  <c:v>01-26-2025</c:v>
                </c:pt>
                <c:pt idx="14">
                  <c:v>01-27-2025</c:v>
                </c:pt>
                <c:pt idx="15">
                  <c:v>01-28-2025</c:v>
                </c:pt>
                <c:pt idx="16">
                  <c:v>01-29-2025</c:v>
                </c:pt>
                <c:pt idx="17">
                  <c:v>01-30-2025</c:v>
                </c:pt>
                <c:pt idx="18">
                  <c:v>01-31-2025</c:v>
                </c:pt>
                <c:pt idx="19">
                  <c:v>02-13-2025</c:v>
                </c:pt>
                <c:pt idx="20">
                  <c:v>02-14-2025</c:v>
                </c:pt>
                <c:pt idx="21">
                  <c:v>02-15-2025</c:v>
                </c:pt>
                <c:pt idx="22">
                  <c:v>02-16-2025</c:v>
                </c:pt>
                <c:pt idx="23">
                  <c:v>02-17-2025</c:v>
                </c:pt>
                <c:pt idx="24">
                  <c:v>02-18-2025</c:v>
                </c:pt>
                <c:pt idx="25">
                  <c:v>02-19-2025</c:v>
                </c:pt>
                <c:pt idx="26">
                  <c:v>02-20-2025</c:v>
                </c:pt>
                <c:pt idx="27">
                  <c:v>02-21-2025</c:v>
                </c:pt>
                <c:pt idx="28">
                  <c:v>02-22-2025</c:v>
                </c:pt>
                <c:pt idx="29">
                  <c:v>02-23-2025</c:v>
                </c:pt>
                <c:pt idx="30">
                  <c:v>02-24-2025</c:v>
                </c:pt>
                <c:pt idx="31">
                  <c:v>02-25-2025</c:v>
                </c:pt>
                <c:pt idx="32">
                  <c:v>02-26-2025</c:v>
                </c:pt>
                <c:pt idx="33">
                  <c:v>02-27-2025</c:v>
                </c:pt>
                <c:pt idx="34">
                  <c:v>02-28-2025</c:v>
                </c:pt>
                <c:pt idx="35">
                  <c:v>03-13-2025</c:v>
                </c:pt>
                <c:pt idx="36">
                  <c:v>03-14-2025</c:v>
                </c:pt>
                <c:pt idx="37">
                  <c:v>03-15-2025</c:v>
                </c:pt>
                <c:pt idx="38">
                  <c:v>03-16-2025</c:v>
                </c:pt>
                <c:pt idx="39">
                  <c:v>03-17-2025</c:v>
                </c:pt>
                <c:pt idx="40">
                  <c:v>03-18-2025</c:v>
                </c:pt>
                <c:pt idx="41">
                  <c:v>03-19-2025</c:v>
                </c:pt>
                <c:pt idx="42">
                  <c:v>03-20-2025</c:v>
                </c:pt>
                <c:pt idx="43">
                  <c:v>03-21-2025</c:v>
                </c:pt>
                <c:pt idx="44">
                  <c:v>03-22-2025</c:v>
                </c:pt>
                <c:pt idx="45">
                  <c:v>03-23-2025</c:v>
                </c:pt>
                <c:pt idx="46">
                  <c:v>03-24-2025</c:v>
                </c:pt>
                <c:pt idx="47">
                  <c:v>03-25-2025</c:v>
                </c:pt>
                <c:pt idx="48">
                  <c:v>03-26-2025</c:v>
                </c:pt>
                <c:pt idx="49">
                  <c:v>03-27-2025</c:v>
                </c:pt>
                <c:pt idx="50">
                  <c:v>03-28-2025</c:v>
                </c:pt>
                <c:pt idx="51">
                  <c:v>03-29-2025</c:v>
                </c:pt>
                <c:pt idx="52">
                  <c:v>03-30-2025</c:v>
                </c:pt>
                <c:pt idx="53">
                  <c:v>03-31-2025</c:v>
                </c:pt>
                <c:pt idx="54">
                  <c:v>04-13-2025</c:v>
                </c:pt>
                <c:pt idx="55">
                  <c:v>04-14-2025</c:v>
                </c:pt>
                <c:pt idx="56">
                  <c:v>04-15-2025</c:v>
                </c:pt>
                <c:pt idx="57">
                  <c:v>04-16-2025</c:v>
                </c:pt>
                <c:pt idx="58">
                  <c:v>04-17-2025</c:v>
                </c:pt>
                <c:pt idx="59">
                  <c:v>04-18-2025</c:v>
                </c:pt>
                <c:pt idx="60">
                  <c:v>04-19-2025</c:v>
                </c:pt>
                <c:pt idx="61">
                  <c:v>04-20-2025</c:v>
                </c:pt>
                <c:pt idx="62">
                  <c:v>04-21-2025</c:v>
                </c:pt>
                <c:pt idx="63">
                  <c:v>04-22-2025</c:v>
                </c:pt>
                <c:pt idx="64">
                  <c:v>04-23-2025</c:v>
                </c:pt>
                <c:pt idx="65">
                  <c:v>04-24-2025</c:v>
                </c:pt>
                <c:pt idx="66">
                  <c:v>04-25-2025</c:v>
                </c:pt>
                <c:pt idx="67">
                  <c:v>04-26-2025</c:v>
                </c:pt>
                <c:pt idx="68">
                  <c:v>04-27-2025</c:v>
                </c:pt>
                <c:pt idx="69">
                  <c:v>04-28-2025</c:v>
                </c:pt>
                <c:pt idx="70">
                  <c:v>04-29-2025</c:v>
                </c:pt>
                <c:pt idx="71">
                  <c:v>04-30-2025</c:v>
                </c:pt>
              </c:strCache>
            </c:strRef>
          </c:cat>
          <c:val>
            <c:numRef>
              <c:f>Daily_Revenue_Trend!$B$4:$B$76</c:f>
              <c:numCache>
                <c:formatCode>General</c:formatCode>
                <c:ptCount val="72"/>
                <c:pt idx="0">
                  <c:v>5553</c:v>
                </c:pt>
                <c:pt idx="1">
                  <c:v>770</c:v>
                </c:pt>
                <c:pt idx="2">
                  <c:v>3702</c:v>
                </c:pt>
                <c:pt idx="3">
                  <c:v>748</c:v>
                </c:pt>
                <c:pt idx="4">
                  <c:v>6405</c:v>
                </c:pt>
                <c:pt idx="5">
                  <c:v>372</c:v>
                </c:pt>
                <c:pt idx="6">
                  <c:v>4534</c:v>
                </c:pt>
                <c:pt idx="7">
                  <c:v>1285</c:v>
                </c:pt>
                <c:pt idx="8">
                  <c:v>3474</c:v>
                </c:pt>
                <c:pt idx="9">
                  <c:v>1427</c:v>
                </c:pt>
                <c:pt idx="10">
                  <c:v>2243</c:v>
                </c:pt>
                <c:pt idx="11">
                  <c:v>1507</c:v>
                </c:pt>
                <c:pt idx="12">
                  <c:v>3753</c:v>
                </c:pt>
                <c:pt idx="13">
                  <c:v>2566</c:v>
                </c:pt>
                <c:pt idx="14">
                  <c:v>1080</c:v>
                </c:pt>
                <c:pt idx="15">
                  <c:v>2645</c:v>
                </c:pt>
                <c:pt idx="16">
                  <c:v>452</c:v>
                </c:pt>
                <c:pt idx="17">
                  <c:v>2823</c:v>
                </c:pt>
                <c:pt idx="18">
                  <c:v>840</c:v>
                </c:pt>
                <c:pt idx="19">
                  <c:v>882</c:v>
                </c:pt>
                <c:pt idx="20">
                  <c:v>4585</c:v>
                </c:pt>
                <c:pt idx="21">
                  <c:v>716</c:v>
                </c:pt>
                <c:pt idx="22">
                  <c:v>5096</c:v>
                </c:pt>
                <c:pt idx="23">
                  <c:v>826</c:v>
                </c:pt>
                <c:pt idx="24">
                  <c:v>2538</c:v>
                </c:pt>
                <c:pt idx="25">
                  <c:v>767</c:v>
                </c:pt>
                <c:pt idx="26">
                  <c:v>2697</c:v>
                </c:pt>
                <c:pt idx="27">
                  <c:v>434</c:v>
                </c:pt>
                <c:pt idx="28">
                  <c:v>2568</c:v>
                </c:pt>
                <c:pt idx="29">
                  <c:v>1734</c:v>
                </c:pt>
                <c:pt idx="30">
                  <c:v>3447</c:v>
                </c:pt>
                <c:pt idx="31">
                  <c:v>2455</c:v>
                </c:pt>
                <c:pt idx="32">
                  <c:v>1184</c:v>
                </c:pt>
                <c:pt idx="33">
                  <c:v>3010</c:v>
                </c:pt>
                <c:pt idx="34">
                  <c:v>3920</c:v>
                </c:pt>
                <c:pt idx="35">
                  <c:v>2763</c:v>
                </c:pt>
                <c:pt idx="36">
                  <c:v>1255</c:v>
                </c:pt>
                <c:pt idx="37">
                  <c:v>2092</c:v>
                </c:pt>
                <c:pt idx="38">
                  <c:v>2722</c:v>
                </c:pt>
                <c:pt idx="39">
                  <c:v>2807</c:v>
                </c:pt>
                <c:pt idx="40">
                  <c:v>2393</c:v>
                </c:pt>
                <c:pt idx="41">
                  <c:v>611</c:v>
                </c:pt>
                <c:pt idx="42">
                  <c:v>2744</c:v>
                </c:pt>
                <c:pt idx="43">
                  <c:v>625</c:v>
                </c:pt>
                <c:pt idx="44">
                  <c:v>4562</c:v>
                </c:pt>
                <c:pt idx="45">
                  <c:v>556</c:v>
                </c:pt>
                <c:pt idx="46">
                  <c:v>4004</c:v>
                </c:pt>
                <c:pt idx="47">
                  <c:v>699</c:v>
                </c:pt>
                <c:pt idx="48">
                  <c:v>2931</c:v>
                </c:pt>
                <c:pt idx="49">
                  <c:v>504</c:v>
                </c:pt>
                <c:pt idx="50">
                  <c:v>3342</c:v>
                </c:pt>
                <c:pt idx="51">
                  <c:v>515</c:v>
                </c:pt>
                <c:pt idx="52">
                  <c:v>4433</c:v>
                </c:pt>
                <c:pt idx="53">
                  <c:v>843</c:v>
                </c:pt>
                <c:pt idx="54">
                  <c:v>531</c:v>
                </c:pt>
                <c:pt idx="55">
                  <c:v>3847</c:v>
                </c:pt>
                <c:pt idx="56">
                  <c:v>1071</c:v>
                </c:pt>
                <c:pt idx="57">
                  <c:v>3266</c:v>
                </c:pt>
                <c:pt idx="58">
                  <c:v>1117</c:v>
                </c:pt>
                <c:pt idx="59">
                  <c:v>2168</c:v>
                </c:pt>
                <c:pt idx="60">
                  <c:v>1445</c:v>
                </c:pt>
                <c:pt idx="61">
                  <c:v>1067</c:v>
                </c:pt>
                <c:pt idx="62">
                  <c:v>2638</c:v>
                </c:pt>
                <c:pt idx="63">
                  <c:v>736</c:v>
                </c:pt>
                <c:pt idx="64">
                  <c:v>4511</c:v>
                </c:pt>
                <c:pt idx="65">
                  <c:v>737</c:v>
                </c:pt>
                <c:pt idx="66">
                  <c:v>2901</c:v>
                </c:pt>
                <c:pt idx="67">
                  <c:v>739</c:v>
                </c:pt>
                <c:pt idx="68">
                  <c:v>3150</c:v>
                </c:pt>
                <c:pt idx="69">
                  <c:v>693</c:v>
                </c:pt>
                <c:pt idx="70">
                  <c:v>2678</c:v>
                </c:pt>
                <c:pt idx="71">
                  <c:v>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88-4712-A8CE-3AF8CCAA7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6938896"/>
        <c:axId val="976940816"/>
      </c:lineChart>
      <c:catAx>
        <c:axId val="976938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6503557498812043"/>
              <c:y val="0.902347221361109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940816"/>
        <c:crosses val="autoZero"/>
        <c:auto val="1"/>
        <c:lblAlgn val="ctr"/>
        <c:lblOffset val="100"/>
        <c:noMultiLvlLbl val="0"/>
      </c:catAx>
      <c:valAx>
        <c:axId val="97694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Amount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938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[shri_balaji_pharmacy_dataset.xlsx]Monthly_Revenue_Summary!PivotTable4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Revenue Summary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Monthly_Revenue_Summary!$B$3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Monthly_Revenue_Summary!$A$4:$A$9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Monthly_Revenue_Summary!$B$4:$B$9</c:f>
              <c:numCache>
                <c:formatCode>General</c:formatCode>
                <c:ptCount val="5"/>
                <c:pt idx="0">
                  <c:v>73450</c:v>
                </c:pt>
                <c:pt idx="1">
                  <c:v>73283</c:v>
                </c:pt>
                <c:pt idx="2">
                  <c:v>67075</c:v>
                </c:pt>
                <c:pt idx="3">
                  <c:v>66438</c:v>
                </c:pt>
                <c:pt idx="4">
                  <c:v>12513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B5-4637-9A5F-87F134A6C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32078640"/>
        <c:axId val="432077200"/>
      </c:barChart>
      <c:catAx>
        <c:axId val="432078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Month</a:t>
                </a:r>
              </a:p>
            </c:rich>
          </c:tx>
          <c:layout>
            <c:manualLayout>
              <c:xMode val="edge"/>
              <c:yMode val="edge"/>
              <c:x val="0.47376599591717694"/>
              <c:y val="0.9049534203197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077200"/>
        <c:crosses val="autoZero"/>
        <c:auto val="1"/>
        <c:lblAlgn val="ctr"/>
        <c:lblOffset val="100"/>
        <c:noMultiLvlLbl val="0"/>
      </c:catAx>
      <c:valAx>
        <c:axId val="43207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Amount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078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[shri_balaji_pharmacy_dataset.xlsx]Top10_Medicines_Revenue!PivotTable5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0" i="0">
                <a:effectLst/>
              </a:rPr>
              <a:t>Top 10 Medicines by Revenue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" lastClr="FFFFFF">
                    <a:lumMod val="9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285836610849173"/>
          <c:y val="0.15714981774388534"/>
          <c:w val="0.60259249508705026"/>
          <c:h val="0.6438329403220394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Top10_Medicines_Revenue!$B$3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Top10_Medicines_Revenue!$A$4:$A$14</c:f>
              <c:strCache>
                <c:ptCount val="10"/>
                <c:pt idx="0">
                  <c:v>Betadine 10g Ointment</c:v>
                </c:pt>
                <c:pt idx="1">
                  <c:v>Ivermectin 12mg Tablet</c:v>
                </c:pt>
                <c:pt idx="2">
                  <c:v>Enrofloxacin 150mg Tablet</c:v>
                </c:pt>
                <c:pt idx="3">
                  <c:v>Oxytetracycline 250mg Tablet</c:v>
                </c:pt>
                <c:pt idx="4">
                  <c:v>Albendazole 400mg Tablet</c:v>
                </c:pt>
                <c:pt idx="5">
                  <c:v>Doxycycline 100mg Capsule</c:v>
                </c:pt>
                <c:pt idx="6">
                  <c:v>Eno Sachet</c:v>
                </c:pt>
                <c:pt idx="7">
                  <c:v>Amoxicillin 250mg Capsule</c:v>
                </c:pt>
                <c:pt idx="8">
                  <c:v>Atenolol 50mg Tablet</c:v>
                </c:pt>
                <c:pt idx="9">
                  <c:v>Amlodipine 5mg Tablet</c:v>
                </c:pt>
              </c:strCache>
            </c:strRef>
          </c:cat>
          <c:val>
            <c:numRef>
              <c:f>Top10_Medicines_Revenue!$B$4:$B$14</c:f>
              <c:numCache>
                <c:formatCode>General</c:formatCode>
                <c:ptCount val="10"/>
                <c:pt idx="0">
                  <c:v>111840</c:v>
                </c:pt>
                <c:pt idx="1">
                  <c:v>44650</c:v>
                </c:pt>
                <c:pt idx="2">
                  <c:v>34160</c:v>
                </c:pt>
                <c:pt idx="3">
                  <c:v>23910</c:v>
                </c:pt>
                <c:pt idx="4">
                  <c:v>19040</c:v>
                </c:pt>
                <c:pt idx="5">
                  <c:v>10200</c:v>
                </c:pt>
                <c:pt idx="6">
                  <c:v>8910</c:v>
                </c:pt>
                <c:pt idx="7">
                  <c:v>7920</c:v>
                </c:pt>
                <c:pt idx="8">
                  <c:v>5886</c:v>
                </c:pt>
                <c:pt idx="9">
                  <c:v>4845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16-42DA-B9E3-319BF2E1E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4574464"/>
        <c:axId val="935867424"/>
      </c:barChart>
      <c:catAx>
        <c:axId val="7045744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Medicine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867424"/>
        <c:crosses val="autoZero"/>
        <c:auto val="1"/>
        <c:lblAlgn val="ctr"/>
        <c:lblOffset val="100"/>
        <c:noMultiLvlLbl val="0"/>
      </c:catAx>
      <c:valAx>
        <c:axId val="935867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Amount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45949814783790321"/>
              <c:y val="0.886208291389145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574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[shri_balaji_pharmacy_dataset.xlsx]Top10_Medicines_Quantity!PivotTable6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Medicines by Quantity Sold</a:t>
            </a:r>
            <a:endParaRPr lang="en-US"/>
          </a:p>
        </c:rich>
      </c:tx>
      <c:layout>
        <c:manualLayout>
          <c:xMode val="edge"/>
          <c:yMode val="edge"/>
          <c:x val="0.28526917868143192"/>
          <c:y val="3.10461192350956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140533803137621"/>
          <c:y val="0.13431596050493688"/>
          <c:w val="0.576113687843814"/>
          <c:h val="0.6746259217597799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Top10_Medicines_Quantity!$B$3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Top10_Medicines_Quantity!$A$4:$A$14</c:f>
              <c:strCache>
                <c:ptCount val="10"/>
                <c:pt idx="0">
                  <c:v>Crocin 500mg Tablet</c:v>
                </c:pt>
                <c:pt idx="1">
                  <c:v>Doxycycline 100mg Capsule</c:v>
                </c:pt>
                <c:pt idx="2">
                  <c:v>Paracetamol 500mg Tablet</c:v>
                </c:pt>
                <c:pt idx="3">
                  <c:v>Amoxicillin 250mg Capsule</c:v>
                </c:pt>
                <c:pt idx="4">
                  <c:v>Atenolol 50mg Tablet</c:v>
                </c:pt>
                <c:pt idx="5">
                  <c:v>Amlodipine 5mg Tablet</c:v>
                </c:pt>
                <c:pt idx="6">
                  <c:v>Ibuprofen 400mg Tablet</c:v>
                </c:pt>
                <c:pt idx="7">
                  <c:v>Betadine 10g Ointment</c:v>
                </c:pt>
                <c:pt idx="8">
                  <c:v>Metformin 500mg Tablet</c:v>
                </c:pt>
                <c:pt idx="9">
                  <c:v>Albendazole 400mg Tablet</c:v>
                </c:pt>
              </c:strCache>
            </c:strRef>
          </c:cat>
          <c:val>
            <c:numRef>
              <c:f>Top10_Medicines_Quantity!$B$4:$B$14</c:f>
              <c:numCache>
                <c:formatCode>General</c:formatCode>
                <c:ptCount val="10"/>
                <c:pt idx="0">
                  <c:v>1022</c:v>
                </c:pt>
                <c:pt idx="1">
                  <c:v>1020</c:v>
                </c:pt>
                <c:pt idx="2">
                  <c:v>991</c:v>
                </c:pt>
                <c:pt idx="3">
                  <c:v>990</c:v>
                </c:pt>
                <c:pt idx="4">
                  <c:v>981</c:v>
                </c:pt>
                <c:pt idx="5">
                  <c:v>969</c:v>
                </c:pt>
                <c:pt idx="6">
                  <c:v>953</c:v>
                </c:pt>
                <c:pt idx="7">
                  <c:v>938</c:v>
                </c:pt>
                <c:pt idx="8">
                  <c:v>925</c:v>
                </c:pt>
                <c:pt idx="9">
                  <c:v>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BD-4F80-B778-343194277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665344"/>
        <c:axId val="764029488"/>
      </c:barChart>
      <c:catAx>
        <c:axId val="4326653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Medicines</a:t>
                </a:r>
              </a:p>
            </c:rich>
          </c:tx>
          <c:layout>
            <c:manualLayout>
              <c:xMode val="edge"/>
              <c:yMode val="edge"/>
              <c:x val="6.611491628614917E-2"/>
              <c:y val="0.3477082864641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029488"/>
        <c:crosses val="autoZero"/>
        <c:auto val="1"/>
        <c:lblAlgn val="ctr"/>
        <c:lblOffset val="100"/>
        <c:noMultiLvlLbl val="0"/>
      </c:catAx>
      <c:valAx>
        <c:axId val="764029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Quantity sold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51045434389194511"/>
              <c:y val="0.895285589301337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66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ABC</a:t>
            </a:r>
            <a:r>
              <a:rPr lang="en-IN" baseline="0"/>
              <a:t> Analysis of Medicines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4E4-468D-983B-6649E4B9CD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4E4-468D-983B-6649E4B9CD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4E4-468D-983B-6649E4B9CDB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ABC_Analysis_of_Medicines!$H$4:$H$6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ABC_Analysis_of_Medicines!$I$4:$I$6</c:f>
              <c:numCache>
                <c:formatCode>General</c:formatCode>
                <c:ptCount val="3"/>
                <c:pt idx="0">
                  <c:v>233600</c:v>
                </c:pt>
                <c:pt idx="1">
                  <c:v>42221</c:v>
                </c:pt>
                <c:pt idx="2">
                  <c:v>16938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BA-4138-9F07-6F1817DA160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[shri_balaji_pharmacy_dataset.xlsx]Medicine_Stock_Analysis!PivotTable16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Medicine</a:t>
            </a:r>
            <a:r>
              <a:rPr lang="en-IN" baseline="0"/>
              <a:t> Stock Analysis</a:t>
            </a:r>
          </a:p>
          <a:p>
            <a:pPr>
              <a:defRPr/>
            </a:pPr>
            <a:r>
              <a:rPr lang="en-IN" baseline="0"/>
              <a:t>Non-Expired Vs Expired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Medicine_Stock_Analysis!$B$3:$B$4</c:f>
              <c:strCache>
                <c:ptCount val="1"/>
                <c:pt idx="0">
                  <c:v>Expired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Medicine_Stock_Analysis!$A$5:$A$22</c:f>
              <c:strCache>
                <c:ptCount val="17"/>
                <c:pt idx="0">
                  <c:v>Albendazole 400mg Tablet</c:v>
                </c:pt>
                <c:pt idx="1">
                  <c:v>Amlodipine 5mg Tablet</c:v>
                </c:pt>
                <c:pt idx="2">
                  <c:v>Amoxicillin 250mg Capsule</c:v>
                </c:pt>
                <c:pt idx="3">
                  <c:v>Atenolol 50mg Tablet</c:v>
                </c:pt>
                <c:pt idx="4">
                  <c:v>Betadine 10g Ointment</c:v>
                </c:pt>
                <c:pt idx="5">
                  <c:v>Cetirizine 10mg Tablet</c:v>
                </c:pt>
                <c:pt idx="6">
                  <c:v>Crocin 500mg Tablet</c:v>
                </c:pt>
                <c:pt idx="7">
                  <c:v>Doxycycline 100mg Capsule</c:v>
                </c:pt>
                <c:pt idx="8">
                  <c:v>Eno Sachet</c:v>
                </c:pt>
                <c:pt idx="9">
                  <c:v>Enrofloxacin 150mg Tablet</c:v>
                </c:pt>
                <c:pt idx="10">
                  <c:v>Ibuprofen 400mg Tablet</c:v>
                </c:pt>
                <c:pt idx="11">
                  <c:v>Ivermectin 12mg Tablet</c:v>
                </c:pt>
                <c:pt idx="12">
                  <c:v>Metformin 500mg Tablet</c:v>
                </c:pt>
                <c:pt idx="13">
                  <c:v>Oxytetracycline 250mg Tablet</c:v>
                </c:pt>
                <c:pt idx="14">
                  <c:v>Pantoprazole 40mg Tablet</c:v>
                </c:pt>
                <c:pt idx="15">
                  <c:v>Paracetamol 500mg Tablet</c:v>
                </c:pt>
                <c:pt idx="16">
                  <c:v>Salbutamol 4mg Tablet</c:v>
                </c:pt>
              </c:strCache>
            </c:strRef>
          </c:cat>
          <c:val>
            <c:numRef>
              <c:f>Medicine_Stock_Analysis!$B$5:$B$22</c:f>
              <c:numCache>
                <c:formatCode>General</c:formatCode>
                <c:ptCount val="17"/>
                <c:pt idx="0">
                  <c:v>3940</c:v>
                </c:pt>
                <c:pt idx="1">
                  <c:v>1300</c:v>
                </c:pt>
                <c:pt idx="2">
                  <c:v>648</c:v>
                </c:pt>
                <c:pt idx="3">
                  <c:v>768</c:v>
                </c:pt>
                <c:pt idx="4">
                  <c:v>21120</c:v>
                </c:pt>
                <c:pt idx="5">
                  <c:v>360</c:v>
                </c:pt>
                <c:pt idx="6">
                  <c:v>456</c:v>
                </c:pt>
                <c:pt idx="7">
                  <c:v>1780</c:v>
                </c:pt>
                <c:pt idx="8">
                  <c:v>730</c:v>
                </c:pt>
                <c:pt idx="9">
                  <c:v>9840</c:v>
                </c:pt>
                <c:pt idx="10">
                  <c:v>489</c:v>
                </c:pt>
                <c:pt idx="11">
                  <c:v>6200</c:v>
                </c:pt>
                <c:pt idx="12">
                  <c:v>912</c:v>
                </c:pt>
                <c:pt idx="13">
                  <c:v>3240</c:v>
                </c:pt>
                <c:pt idx="14">
                  <c:v>470</c:v>
                </c:pt>
                <c:pt idx="15">
                  <c:v>252</c:v>
                </c:pt>
                <c:pt idx="16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91-4D3B-B776-47E9313C4A3D}"/>
            </c:ext>
          </c:extLst>
        </c:ser>
        <c:ser>
          <c:idx val="1"/>
          <c:order val="1"/>
          <c:tx>
            <c:strRef>
              <c:f>Medicine_Stock_Analysis!$C$3:$C$4</c:f>
              <c:strCache>
                <c:ptCount val="1"/>
                <c:pt idx="0">
                  <c:v>Non-Expired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Medicine_Stock_Analysis!$A$5:$A$22</c:f>
              <c:strCache>
                <c:ptCount val="17"/>
                <c:pt idx="0">
                  <c:v>Albendazole 400mg Tablet</c:v>
                </c:pt>
                <c:pt idx="1">
                  <c:v>Amlodipine 5mg Tablet</c:v>
                </c:pt>
                <c:pt idx="2">
                  <c:v>Amoxicillin 250mg Capsule</c:v>
                </c:pt>
                <c:pt idx="3">
                  <c:v>Atenolol 50mg Tablet</c:v>
                </c:pt>
                <c:pt idx="4">
                  <c:v>Betadine 10g Ointment</c:v>
                </c:pt>
                <c:pt idx="5">
                  <c:v>Cetirizine 10mg Tablet</c:v>
                </c:pt>
                <c:pt idx="6">
                  <c:v>Crocin 500mg Tablet</c:v>
                </c:pt>
                <c:pt idx="7">
                  <c:v>Doxycycline 100mg Capsule</c:v>
                </c:pt>
                <c:pt idx="8">
                  <c:v>Eno Sachet</c:v>
                </c:pt>
                <c:pt idx="9">
                  <c:v>Enrofloxacin 150mg Tablet</c:v>
                </c:pt>
                <c:pt idx="10">
                  <c:v>Ibuprofen 400mg Tablet</c:v>
                </c:pt>
                <c:pt idx="11">
                  <c:v>Ivermectin 12mg Tablet</c:v>
                </c:pt>
                <c:pt idx="12">
                  <c:v>Metformin 500mg Tablet</c:v>
                </c:pt>
                <c:pt idx="13">
                  <c:v>Oxytetracycline 250mg Tablet</c:v>
                </c:pt>
                <c:pt idx="14">
                  <c:v>Pantoprazole 40mg Tablet</c:v>
                </c:pt>
                <c:pt idx="15">
                  <c:v>Paracetamol 500mg Tablet</c:v>
                </c:pt>
                <c:pt idx="16">
                  <c:v>Salbutamol 4mg Tablet</c:v>
                </c:pt>
              </c:strCache>
            </c:strRef>
          </c:cat>
          <c:val>
            <c:numRef>
              <c:f>Medicine_Stock_Analysis!$C$5:$C$22</c:f>
              <c:numCache>
                <c:formatCode>General</c:formatCode>
                <c:ptCount val="17"/>
                <c:pt idx="0">
                  <c:v>15100</c:v>
                </c:pt>
                <c:pt idx="1">
                  <c:v>3545</c:v>
                </c:pt>
                <c:pt idx="2">
                  <c:v>7272</c:v>
                </c:pt>
                <c:pt idx="3">
                  <c:v>5118</c:v>
                </c:pt>
                <c:pt idx="4">
                  <c:v>90720</c:v>
                </c:pt>
                <c:pt idx="5">
                  <c:v>2409</c:v>
                </c:pt>
                <c:pt idx="6">
                  <c:v>1588</c:v>
                </c:pt>
                <c:pt idx="7">
                  <c:v>8420</c:v>
                </c:pt>
                <c:pt idx="8">
                  <c:v>8180</c:v>
                </c:pt>
                <c:pt idx="9">
                  <c:v>24320</c:v>
                </c:pt>
                <c:pt idx="10">
                  <c:v>2370</c:v>
                </c:pt>
                <c:pt idx="11">
                  <c:v>38450</c:v>
                </c:pt>
                <c:pt idx="12">
                  <c:v>2788</c:v>
                </c:pt>
                <c:pt idx="13">
                  <c:v>20670</c:v>
                </c:pt>
                <c:pt idx="14">
                  <c:v>3990</c:v>
                </c:pt>
                <c:pt idx="15">
                  <c:v>1730</c:v>
                </c:pt>
                <c:pt idx="16">
                  <c:v>3028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91-4D3B-B776-47E9313C4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6591984"/>
        <c:axId val="1017431888"/>
      </c:barChart>
      <c:catAx>
        <c:axId val="108659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Medicine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431888"/>
        <c:crosses val="autoZero"/>
        <c:auto val="1"/>
        <c:lblAlgn val="ctr"/>
        <c:lblOffset val="100"/>
        <c:noMultiLvlLbl val="0"/>
      </c:catAx>
      <c:valAx>
        <c:axId val="101743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Amount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59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4</xdr:row>
      <xdr:rowOff>53340</xdr:rowOff>
    </xdr:from>
    <xdr:to>
      <xdr:col>16</xdr:col>
      <xdr:colOff>510540</xdr:colOff>
      <xdr:row>25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F01ACB-5C5D-8136-48B5-6D2757C5D6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335280</xdr:colOff>
      <xdr:row>2</xdr:row>
      <xdr:rowOff>167640</xdr:rowOff>
    </xdr:from>
    <xdr:to>
      <xdr:col>16</xdr:col>
      <xdr:colOff>373380</xdr:colOff>
      <xdr:row>26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17DEE6-A82A-FC9E-7600-EEA87BC8C7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365760</xdr:colOff>
      <xdr:row>0</xdr:row>
      <xdr:rowOff>175260</xdr:rowOff>
    </xdr:from>
    <xdr:to>
      <xdr:col>16</xdr:col>
      <xdr:colOff>601980</xdr:colOff>
      <xdr:row>27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96C0C0-A04D-F1C9-565B-648D5FBE24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1</xdr:row>
      <xdr:rowOff>30480</xdr:rowOff>
    </xdr:from>
    <xdr:to>
      <xdr:col>16</xdr:col>
      <xdr:colOff>266700</xdr:colOff>
      <xdr:row>29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0B7B96-D8C6-A3A2-840C-0E785BE04B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510540</xdr:colOff>
      <xdr:row>6</xdr:row>
      <xdr:rowOff>68580</xdr:rowOff>
    </xdr:from>
    <xdr:to>
      <xdr:col>13</xdr:col>
      <xdr:colOff>487680</xdr:colOff>
      <xdr:row>26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960F5A-E5FE-ADED-FF94-A5931D8DF8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0</xdr:row>
      <xdr:rowOff>175260</xdr:rowOff>
    </xdr:from>
    <xdr:to>
      <xdr:col>18</xdr:col>
      <xdr:colOff>205740</xdr:colOff>
      <xdr:row>29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24FE18-BE54-1632-82BC-F3DF82E9E9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874.67494513889" createdVersion="8" refreshedVersion="8" minRefreshableVersion="3" recordCount="1000" xr:uid="{C0986BC4-D18F-40C3-BFA8-707F310B7FA5}">
  <cacheSource type="worksheet">
    <worksheetSource ref="A1:J1001" sheet="shri_balaji_pharmacy_dataset"/>
  </cacheSource>
  <cacheFields count="10">
    <cacheField name="Dated" numFmtId="14">
      <sharedItems containsDate="1" containsMixedTypes="1" minDate="2025-01-01T00:00:00" maxDate="2025-12-05T00:00:00" count="125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s v="01-13-2025"/>
        <s v="01-14-2025"/>
        <s v="01-15-2025"/>
        <s v="01-16-2025"/>
        <s v="01-17-2025"/>
        <s v="01-18-2025"/>
        <s v="01-19-2025"/>
        <s v="01-20-2025"/>
        <s v="01-21-2025"/>
        <s v="01-22-2025"/>
        <s v="01-23-2025"/>
        <s v="01-24-2025"/>
        <s v="01-25-2025"/>
        <s v="01-26-2025"/>
        <s v="01-27-2025"/>
        <s v="01-28-2025"/>
        <s v="01-29-2025"/>
        <s v="01-30-2025"/>
        <s v="01-31-2025"/>
        <d v="2025-01-02T00:00:00"/>
        <d v="2025-02-02T00:00:00"/>
        <d v="2025-03-02T00:00:00"/>
        <d v="2025-04-02T00:00:00"/>
        <d v="2025-05-02T00:00:00"/>
        <d v="2025-06-02T00:00:00"/>
        <d v="2025-07-02T00:00:00"/>
        <d v="2025-08-02T00:00:00"/>
        <d v="2025-09-02T00:00:00"/>
        <d v="2025-10-02T00:00:00"/>
        <d v="2025-11-02T00:00:00"/>
        <d v="2025-12-02T00:00:00"/>
        <s v="02-13-2025"/>
        <s v="02-14-2025"/>
        <s v="02-15-2025"/>
        <s v="02-16-2025"/>
        <s v="02-17-2025"/>
        <s v="02-18-2025"/>
        <s v="02-19-2025"/>
        <s v="02-20-2025"/>
        <s v="02-21-2025"/>
        <s v="02-22-2025"/>
        <s v="02-23-2025"/>
        <s v="02-24-2025"/>
        <s v="02-25-2025"/>
        <s v="02-26-2025"/>
        <s v="02-27-2025"/>
        <s v="02-28-2025"/>
        <d v="2025-01-03T00:00:00"/>
        <d v="2025-02-03T00:00:00"/>
        <d v="2025-03-03T00:00:00"/>
        <d v="2025-04-03T00:00:00"/>
        <d v="2025-05-03T00:00:00"/>
        <d v="2025-06-03T00:00:00"/>
        <d v="2025-07-03T00:00:00"/>
        <d v="2025-08-03T00:00:00"/>
        <d v="2025-09-03T00:00:00"/>
        <d v="2025-10-03T00:00:00"/>
        <d v="2025-11-03T00:00:00"/>
        <d v="2025-12-03T00:00:00"/>
        <s v="03-13-2025"/>
        <s v="03-14-2025"/>
        <s v="03-15-2025"/>
        <s v="03-16-2025"/>
        <s v="03-17-2025"/>
        <s v="03-18-2025"/>
        <s v="03-19-2025"/>
        <s v="03-20-2025"/>
        <s v="03-21-2025"/>
        <s v="03-22-2025"/>
        <s v="03-23-2025"/>
        <s v="03-24-2025"/>
        <s v="03-25-2025"/>
        <s v="03-26-2025"/>
        <s v="03-27-2025"/>
        <s v="03-28-2025"/>
        <s v="03-29-2025"/>
        <s v="03-30-2025"/>
        <s v="03-31-2025"/>
        <d v="2025-01-04T00:00:00"/>
        <d v="2025-02-04T00:00:00"/>
        <d v="2025-03-04T00:00:00"/>
        <d v="2025-04-04T00:00:00"/>
        <d v="2025-05-04T00:00:00"/>
        <d v="2025-06-04T00:00:00"/>
        <d v="2025-07-04T00:00:00"/>
        <d v="2025-08-04T00:00:00"/>
        <d v="2025-09-04T00:00:00"/>
        <d v="2025-10-04T00:00:00"/>
        <d v="2025-11-04T00:00:00"/>
        <d v="2025-12-04T00:00:00"/>
        <s v="04-13-2025"/>
        <s v="04-14-2025"/>
        <s v="04-15-2025"/>
        <s v="04-16-2025"/>
        <s v="04-17-2025"/>
        <s v="04-18-2025"/>
        <s v="04-19-2025"/>
        <s v="04-20-2025"/>
        <s v="04-21-2025"/>
        <s v="04-22-2025"/>
        <s v="04-23-2025"/>
        <s v="04-24-2025"/>
        <s v="04-25-2025"/>
        <s v="04-26-2025"/>
        <s v="04-27-2025"/>
        <s v="04-28-2025"/>
        <s v="04-29-2025"/>
        <s v="04-30-2025"/>
        <d v="2025-01-05T00:00:00"/>
        <d v="2025-02-05T00:00:00"/>
        <d v="2025-03-05T00:00:00"/>
        <d v="2025-04-05T00:00:00"/>
        <d v="2025-05-05T00:00:00"/>
      </sharedItems>
    </cacheField>
    <cacheField name="Doctor" numFmtId="0">
      <sharedItems/>
    </cacheField>
    <cacheField name="Purchaser/Patient" numFmtId="0">
      <sharedItems/>
    </cacheField>
    <cacheField name="Qty." numFmtId="0">
      <sharedItems containsSemiMixedTypes="0" containsString="0" containsNumber="1" containsInteger="1" minValue="1" maxValue="30"/>
    </cacheField>
    <cacheField name="Particulars" numFmtId="0">
      <sharedItems count="17">
        <s v="Paracetamol 500mg Tablet"/>
        <s v="Ibuprofen 400mg Tablet"/>
        <s v="Amoxicillin 250mg Capsule"/>
        <s v="Cetirizine 10mg Tablet"/>
        <s v="Metformin 500mg Tablet"/>
        <s v="Amlodipine 5mg Tablet"/>
        <s v="Atenolol 50mg Tablet"/>
        <s v="Salbutamol 4mg Tablet"/>
        <s v="Doxycycline 100mg Capsule"/>
        <s v="Pantoprazole 40mg Tablet"/>
        <s v="Crocin 500mg Tablet"/>
        <s v="Eno Sachet"/>
        <s v="Betadine 10g Ointment"/>
        <s v="Albendazole 400mg Tablet"/>
        <s v="Oxytetracycline 250mg Tablet"/>
        <s v="Enrofloxacin 150mg Tablet"/>
        <s v="Ivermectin 12mg Tablet"/>
      </sharedItems>
    </cacheField>
    <cacheField name="Manufacturing Company" numFmtId="0">
      <sharedItems/>
    </cacheField>
    <cacheField name="Batch No." numFmtId="0">
      <sharedItems/>
    </cacheField>
    <cacheField name="Expiry Date" numFmtId="17">
      <sharedItems containsSemiMixedTypes="0" containsNonDate="0" containsDate="1" containsString="0" minDate="2025-12-01T00:00:00" maxDate="2028-03-02T00:00:00"/>
    </cacheField>
    <cacheField name="Amount(Rs.)" numFmtId="0">
      <sharedItems containsSemiMixedTypes="0" containsString="0" containsNumber="1" containsInteger="1" minValue="2" maxValue="3600"/>
    </cacheField>
    <cacheField name="Month" numFmtId="164">
      <sharedItems count="5">
        <s v="January"/>
        <s v="February"/>
        <s v="March"/>
        <s v="April"/>
        <s v="M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874.726034259256" createdVersion="8" refreshedVersion="8" minRefreshableVersion="3" recordCount="1001" xr:uid="{95DB4D37-87D6-4437-8392-B5B5507D8507}">
  <cacheSource type="worksheet">
    <worksheetSource ref="A1:J1048576" sheet="shri_balaji_pharmacy_dataset"/>
  </cacheSource>
  <cacheFields count="10">
    <cacheField name="Dated" numFmtId="14">
      <sharedItems containsDate="1" containsBlank="1" containsMixedTypes="1" minDate="2025-01-01T00:00:00" maxDate="2025-12-05T00:00:00"/>
    </cacheField>
    <cacheField name="Doctor" numFmtId="0">
      <sharedItems containsBlank="1"/>
    </cacheField>
    <cacheField name="Purchaser/Patient" numFmtId="0">
      <sharedItems containsBlank="1"/>
    </cacheField>
    <cacheField name="Qty." numFmtId="0">
      <sharedItems containsString="0" containsBlank="1" containsNumber="1" containsInteger="1" minValue="1" maxValue="30"/>
    </cacheField>
    <cacheField name="Particulars" numFmtId="0">
      <sharedItems containsBlank="1" count="18">
        <s v="Paracetamol 500mg Tablet"/>
        <s v="Ibuprofen 400mg Tablet"/>
        <s v="Amoxicillin 250mg Capsule"/>
        <s v="Cetirizine 10mg Tablet"/>
        <s v="Metformin 500mg Tablet"/>
        <s v="Amlodipine 5mg Tablet"/>
        <s v="Atenolol 50mg Tablet"/>
        <s v="Salbutamol 4mg Tablet"/>
        <s v="Doxycycline 100mg Capsule"/>
        <s v="Pantoprazole 40mg Tablet"/>
        <s v="Crocin 500mg Tablet"/>
        <s v="Eno Sachet"/>
        <s v="Betadine 10g Ointment"/>
        <s v="Albendazole 400mg Tablet"/>
        <s v="Oxytetracycline 250mg Tablet"/>
        <s v="Enrofloxacin 150mg Tablet"/>
        <s v="Ivermectin 12mg Tablet"/>
        <m/>
      </sharedItems>
    </cacheField>
    <cacheField name="Manufacturing Company" numFmtId="0">
      <sharedItems containsBlank="1"/>
    </cacheField>
    <cacheField name="Batch No." numFmtId="0">
      <sharedItems containsBlank="1"/>
    </cacheField>
    <cacheField name="Expiry Date" numFmtId="0">
      <sharedItems containsNonDate="0" containsDate="1" containsString="0" containsBlank="1" minDate="2025-12-01T00:00:00" maxDate="2028-03-02T00:00:00"/>
    </cacheField>
    <cacheField name="Amount(Rs.)" numFmtId="0">
      <sharedItems containsString="0" containsBlank="1" containsNumber="1" containsInteger="1" minValue="2" maxValue="3600"/>
    </cacheField>
    <cacheField name="Month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874.824209143517" createdVersion="8" refreshedVersion="8" minRefreshableVersion="3" recordCount="1000" xr:uid="{0E35A627-EF82-4B48-9F7E-9C9FFEAD470A}">
  <cacheSource type="worksheet">
    <worksheetSource ref="A1:K1001" sheet="shri_balaji_pharmacy_dataset"/>
  </cacheSource>
  <cacheFields count="11">
    <cacheField name="Dated" numFmtId="14">
      <sharedItems containsDate="1" containsMixedTypes="1" minDate="2025-01-01T00:00:00" maxDate="2025-12-05T00:00:00"/>
    </cacheField>
    <cacheField name="Doctor" numFmtId="0">
      <sharedItems/>
    </cacheField>
    <cacheField name="Purchaser/Patient" numFmtId="0">
      <sharedItems/>
    </cacheField>
    <cacheField name="Qty." numFmtId="0">
      <sharedItems containsSemiMixedTypes="0" containsString="0" containsNumber="1" containsInteger="1" minValue="1" maxValue="30"/>
    </cacheField>
    <cacheField name="Particulars" numFmtId="0">
      <sharedItems count="17">
        <s v="Paracetamol 500mg Tablet"/>
        <s v="Ibuprofen 400mg Tablet"/>
        <s v="Amoxicillin 250mg Capsule"/>
        <s v="Cetirizine 10mg Tablet"/>
        <s v="Metformin 500mg Tablet"/>
        <s v="Amlodipine 5mg Tablet"/>
        <s v="Atenolol 50mg Tablet"/>
        <s v="Salbutamol 4mg Tablet"/>
        <s v="Doxycycline 100mg Capsule"/>
        <s v="Pantoprazole 40mg Tablet"/>
        <s v="Crocin 500mg Tablet"/>
        <s v="Eno Sachet"/>
        <s v="Betadine 10g Ointment"/>
        <s v="Albendazole 400mg Tablet"/>
        <s v="Oxytetracycline 250mg Tablet"/>
        <s v="Enrofloxacin 150mg Tablet"/>
        <s v="Ivermectin 12mg Tablet"/>
      </sharedItems>
    </cacheField>
    <cacheField name="Manufacturing Company" numFmtId="0">
      <sharedItems/>
    </cacheField>
    <cacheField name="Batch No." numFmtId="0">
      <sharedItems/>
    </cacheField>
    <cacheField name="Expiry Date" numFmtId="164">
      <sharedItems containsSemiMixedTypes="0" containsNonDate="0" containsDate="1" containsString="0" minDate="2023-03-01T00:00:00" maxDate="2028-03-02T00:00:00"/>
    </cacheField>
    <cacheField name="Amount(Rs.)" numFmtId="0">
      <sharedItems containsSemiMixedTypes="0" containsString="0" containsNumber="1" containsInteger="1" minValue="2" maxValue="3600"/>
    </cacheField>
    <cacheField name="Month" numFmtId="164">
      <sharedItems/>
    </cacheField>
    <cacheField name="Status" numFmtId="0">
      <sharedItems count="2">
        <s v="Expired"/>
        <s v="Non-Expir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OTC"/>
    <s v="Amar Burdak"/>
    <n v="23"/>
    <x v="0"/>
    <s v="Cipla"/>
    <s v="PAR0325/25"/>
    <d v="2026-03-01T00:00:00"/>
    <n v="46"/>
    <x v="0"/>
  </r>
  <r>
    <x v="0"/>
    <s v="OTC"/>
    <s v="Santosh Rani"/>
    <n v="15"/>
    <x v="1"/>
    <s v="Sun Pharma"/>
    <s v="IBU1224A"/>
    <d v="2026-01-01T00:00:00"/>
    <n v="45"/>
    <x v="0"/>
  </r>
  <r>
    <x v="0"/>
    <s v="Dr. Anshul Sehgal"/>
    <s v="Sanjay Riwar"/>
    <n v="22"/>
    <x v="2"/>
    <s v="Dr. Reddyâ€™s"/>
    <s v="AMO0425/25"/>
    <d v="2027-01-01T00:00:00"/>
    <n v="176"/>
    <x v="0"/>
  </r>
  <r>
    <x v="0"/>
    <s v="Dr. Ramphal Dhaka"/>
    <s v="Balbir Fageria"/>
    <n v="28"/>
    <x v="3"/>
    <s v="Zydus Cadila"/>
    <s v="CET0425B"/>
    <d v="2027-09-01T00:00:00"/>
    <n v="84"/>
    <x v="0"/>
  </r>
  <r>
    <x v="0"/>
    <s v="OTC"/>
    <s v="Amar Burdak"/>
    <n v="30"/>
    <x v="4"/>
    <s v="Lupin"/>
    <s v="MET0125X"/>
    <d v="2026-07-01T00:00:00"/>
    <n v="120"/>
    <x v="0"/>
  </r>
  <r>
    <x v="0"/>
    <s v="Dr. Geeta Choudhary"/>
    <s v="Shyam Sunder"/>
    <n v="30"/>
    <x v="5"/>
    <s v="Torrent Pharma"/>
    <s v="AML0125A"/>
    <d v="2027-12-01T00:00:00"/>
    <n v="150"/>
    <x v="0"/>
  </r>
  <r>
    <x v="0"/>
    <s v="OTC"/>
    <s v="Sanjay Riwar"/>
    <n v="21"/>
    <x v="6"/>
    <s v="Alkem Laboratories"/>
    <s v="ATE1224X"/>
    <d v="2027-11-01T00:00:00"/>
    <n v="126"/>
    <x v="0"/>
  </r>
  <r>
    <x v="0"/>
    <s v="Dr. Vinay Singla"/>
    <s v="Krishan Singh"/>
    <n v="10"/>
    <x v="7"/>
    <s v="Cipla"/>
    <s v="SAL0125A"/>
    <d v="2027-06-01T00:00:00"/>
    <n v="40"/>
    <x v="0"/>
  </r>
  <r>
    <x v="1"/>
    <s v="Dr. Sameer Tuteja"/>
    <s v="Dinesh Sharma"/>
    <n v="12"/>
    <x v="8"/>
    <s v="Sun Pharma"/>
    <s v="DOX0325A"/>
    <d v="2027-05-01T00:00:00"/>
    <n v="120"/>
    <x v="0"/>
  </r>
  <r>
    <x v="1"/>
    <s v="Dr. Kamaljeet Sambhyl"/>
    <s v="Manisha Rani"/>
    <n v="8"/>
    <x v="9"/>
    <s v="Mankind Pharma"/>
    <s v="PAN0125X"/>
    <d v="2026-07-01T00:00:00"/>
    <n v="40"/>
    <x v="0"/>
  </r>
  <r>
    <x v="1"/>
    <s v="Dr. Ramphal Dhaka"/>
    <s v="Dinesh Sharma"/>
    <n v="29"/>
    <x v="10"/>
    <s v="GSK India"/>
    <s v="CRO0125C"/>
    <d v="2026-07-01T00:00:00"/>
    <n v="58"/>
    <x v="0"/>
  </r>
  <r>
    <x v="1"/>
    <s v="Dr. Sameer Tuteja"/>
    <s v="Sube Ram"/>
    <n v="10"/>
    <x v="11"/>
    <s v="GSK India"/>
    <s v="ENO0225/25"/>
    <d v="2026-05-01T00:00:00"/>
    <n v="100"/>
    <x v="0"/>
  </r>
  <r>
    <x v="1"/>
    <s v="Dr. Amit Narang"/>
    <s v="Sumit Kumar"/>
    <n v="13"/>
    <x v="12"/>
    <s v="Sanofi India"/>
    <s v="BET0125/25"/>
    <d v="2026-09-01T00:00:00"/>
    <n v="840"/>
    <x v="0"/>
  </r>
  <r>
    <x v="1"/>
    <s v="OTC"/>
    <s v="Balbir Fageria"/>
    <n v="14"/>
    <x v="13"/>
    <s v="Mankind Pharma"/>
    <s v="ALB0325C"/>
    <d v="2027-03-01T00:00:00"/>
    <n v="840"/>
    <x v="0"/>
  </r>
  <r>
    <x v="1"/>
    <s v="Dr. HC Dahiya"/>
    <s v="Naresh Didharia"/>
    <n v="28"/>
    <x v="14"/>
    <s v="Pfizer India"/>
    <s v="OXY0425/25"/>
    <d v="2027-12-01T00:00:00"/>
    <n v="840"/>
    <x v="0"/>
  </r>
  <r>
    <x v="1"/>
    <s v="Dr. Ramphal Dhaka"/>
    <s v="Hari Singh"/>
    <n v="23"/>
    <x v="15"/>
    <s v="Abbott India"/>
    <s v="ENR0225A"/>
    <d v="2027-12-01T00:00:00"/>
    <n v="920"/>
    <x v="0"/>
  </r>
  <r>
    <x v="2"/>
    <s v="OTC"/>
    <s v="Brijlalal Dhaka"/>
    <n v="25"/>
    <x v="16"/>
    <s v="Sun Pharma"/>
    <s v="IVE1224C"/>
    <d v="2027-11-01T00:00:00"/>
    <n v="1250"/>
    <x v="0"/>
  </r>
  <r>
    <x v="2"/>
    <s v="Dr. Anshul Sehgal"/>
    <s v="Hari Singh"/>
    <n v="13"/>
    <x v="0"/>
    <s v="Cipla"/>
    <s v="PAR1224C"/>
    <d v="2027-05-01T00:00:00"/>
    <n v="26"/>
    <x v="0"/>
  </r>
  <r>
    <x v="2"/>
    <s v="Dr. Anshul Sehgal"/>
    <s v="Shishpal Sharma"/>
    <n v="26"/>
    <x v="1"/>
    <s v="Sun Pharma"/>
    <s v="IBU0425/25"/>
    <d v="2027-03-01T00:00:00"/>
    <n v="78"/>
    <x v="0"/>
  </r>
  <r>
    <x v="2"/>
    <s v="Dr. Virender Siwach"/>
    <s v="Sumit Kumar"/>
    <n v="4"/>
    <x v="2"/>
    <s v="Dr. Reddyâ€™s"/>
    <s v="AMO0225/25"/>
    <d v="2026-05-01T00:00:00"/>
    <n v="32"/>
    <x v="0"/>
  </r>
  <r>
    <x v="2"/>
    <s v="Dr. Anshul Sehgal"/>
    <s v="Brijlalal Dhaka"/>
    <n v="10"/>
    <x v="3"/>
    <s v="Zydus Cadila"/>
    <s v="CET0225/25"/>
    <d v="2026-11-01T00:00:00"/>
    <n v="30"/>
    <x v="0"/>
  </r>
  <r>
    <x v="2"/>
    <s v="OTC"/>
    <s v="Ravi Dhaka"/>
    <n v="11"/>
    <x v="4"/>
    <s v="Lupin"/>
    <s v="MET0425X"/>
    <d v="2028-03-01T00:00:00"/>
    <n v="44"/>
    <x v="0"/>
  </r>
  <r>
    <x v="2"/>
    <s v="Dr. Manohar Pahuja"/>
    <s v="Shyam Sunder"/>
    <n v="20"/>
    <x v="5"/>
    <s v="Torrent Pharma"/>
    <s v="AML0225X"/>
    <d v="2026-03-01T00:00:00"/>
    <n v="100"/>
    <x v="0"/>
  </r>
  <r>
    <x v="2"/>
    <s v="Dr. Virender Siwach"/>
    <s v="Naresh Didharia"/>
    <n v="12"/>
    <x v="6"/>
    <s v="Alkem Laboratories"/>
    <s v="ATE0125X"/>
    <d v="2026-03-01T00:00:00"/>
    <n v="72"/>
    <x v="0"/>
  </r>
  <r>
    <x v="3"/>
    <s v="OTC"/>
    <s v="Mandeep Kumar"/>
    <n v="21"/>
    <x v="7"/>
    <s v="Cipla"/>
    <s v="SAL0225B"/>
    <d v="2028-01-01T00:00:00"/>
    <n v="84"/>
    <x v="0"/>
  </r>
  <r>
    <x v="3"/>
    <s v="Dr. Rajesh Batra"/>
    <s v="Krishan Singh"/>
    <n v="21"/>
    <x v="8"/>
    <s v="Sun Pharma"/>
    <s v="DOX1224/25"/>
    <d v="2027-06-01T00:00:00"/>
    <n v="210"/>
    <x v="0"/>
  </r>
  <r>
    <x v="3"/>
    <s v="Dr. Renu Bansal"/>
    <s v="Amar Burdak"/>
    <n v="28"/>
    <x v="9"/>
    <s v="Mankind Pharma"/>
    <s v="PAN1224A"/>
    <d v="2026-08-01T00:00:00"/>
    <n v="140"/>
    <x v="0"/>
  </r>
  <r>
    <x v="3"/>
    <s v="Dr. Anshul Sehgal"/>
    <s v="Amar Burdak"/>
    <n v="14"/>
    <x v="10"/>
    <s v="GSK India"/>
    <s v="CRO0225X"/>
    <d v="2027-11-01T00:00:00"/>
    <n v="28"/>
    <x v="0"/>
  </r>
  <r>
    <x v="3"/>
    <s v="Dr. Vinay Singla"/>
    <s v="Sumit Kumar"/>
    <n v="7"/>
    <x v="11"/>
    <s v="GSK India"/>
    <s v="ENO0325C"/>
    <d v="2027-04-01T00:00:00"/>
    <n v="70"/>
    <x v="0"/>
  </r>
  <r>
    <x v="3"/>
    <s v="Dr. Ramphal Dhaka"/>
    <s v="Krishan Singh"/>
    <n v="14"/>
    <x v="12"/>
    <s v="Sanofi India"/>
    <s v="BET0125C"/>
    <d v="2027-07-01T00:00:00"/>
    <n v="1680"/>
    <x v="0"/>
  </r>
  <r>
    <x v="3"/>
    <s v="Dr. Satbir Khumber"/>
    <s v="Shyam Sunder"/>
    <n v="29"/>
    <x v="13"/>
    <s v="Mankind Pharma"/>
    <s v="ALB0225X"/>
    <d v="2027-05-01T00:00:00"/>
    <n v="580"/>
    <x v="0"/>
  </r>
  <r>
    <x v="3"/>
    <s v="Dr. Vinay Singla"/>
    <s v="Amit Dhaka"/>
    <n v="27"/>
    <x v="14"/>
    <s v="Pfizer India"/>
    <s v="OXY1224C"/>
    <d v="2026-09-01T00:00:00"/>
    <n v="810"/>
    <x v="0"/>
  </r>
  <r>
    <x v="4"/>
    <s v="Dr. Satbir Khumber"/>
    <s v="Mohit Chaberwal"/>
    <n v="27"/>
    <x v="15"/>
    <s v="Abbott India"/>
    <s v="ENR0325/25"/>
    <d v="2027-06-01T00:00:00"/>
    <n v="1080"/>
    <x v="0"/>
  </r>
  <r>
    <x v="4"/>
    <s v="Dr. Anshul Sehgal"/>
    <s v="Radhe Shaym"/>
    <n v="4"/>
    <x v="16"/>
    <s v="Sun Pharma"/>
    <s v="IVE0125A"/>
    <d v="2027-03-01T00:00:00"/>
    <n v="200"/>
    <x v="0"/>
  </r>
  <r>
    <x v="4"/>
    <s v="Dr. Manohar Pahuja"/>
    <s v="Ravi Dhaka"/>
    <n v="20"/>
    <x v="0"/>
    <s v="Cipla"/>
    <s v="PAR0125C"/>
    <d v="2027-10-01T00:00:00"/>
    <n v="40"/>
    <x v="0"/>
  </r>
  <r>
    <x v="4"/>
    <s v="Dr. Virender Siwach"/>
    <s v="Naresh Didharia"/>
    <n v="9"/>
    <x v="1"/>
    <s v="Sun Pharma"/>
    <s v="IBU0225X"/>
    <d v="2027-02-01T00:00:00"/>
    <n v="27"/>
    <x v="0"/>
  </r>
  <r>
    <x v="4"/>
    <s v="OTC"/>
    <s v="Randhir Fageria"/>
    <n v="24"/>
    <x v="2"/>
    <s v="Dr. Reddyâ€™s"/>
    <s v="AMO0425C"/>
    <d v="2027-05-01T00:00:00"/>
    <n v="192"/>
    <x v="0"/>
  </r>
  <r>
    <x v="4"/>
    <s v="Dr. Geeta Choudhary"/>
    <s v="Mohit Chaberwal"/>
    <n v="17"/>
    <x v="3"/>
    <s v="Zydus Cadila"/>
    <s v="CET0125/25"/>
    <d v="2027-04-01T00:00:00"/>
    <n v="51"/>
    <x v="0"/>
  </r>
  <r>
    <x v="4"/>
    <s v="OTC"/>
    <s v="Krishan Singh"/>
    <n v="4"/>
    <x v="4"/>
    <s v="Lupin"/>
    <s v="MET0125C"/>
    <d v="2027-12-01T00:00:00"/>
    <n v="16"/>
    <x v="0"/>
  </r>
  <r>
    <x v="4"/>
    <s v="Dr. Manohar Pahuja"/>
    <s v="Dinesh Sharma"/>
    <n v="12"/>
    <x v="5"/>
    <s v="Torrent Pharma"/>
    <s v="AML0425C"/>
    <d v="2026-06-01T00:00:00"/>
    <n v="60"/>
    <x v="0"/>
  </r>
  <r>
    <x v="5"/>
    <s v="Dr. Manohar Pahuja"/>
    <s v="Naseeb Khakhal"/>
    <n v="8"/>
    <x v="6"/>
    <s v="Alkem Laboratories"/>
    <s v="ATE0125A"/>
    <d v="2027-06-01T00:00:00"/>
    <n v="48"/>
    <x v="0"/>
  </r>
  <r>
    <x v="5"/>
    <s v="Dr. Vinay Singla"/>
    <s v="Santosh Rani"/>
    <n v="10"/>
    <x v="7"/>
    <s v="Cipla"/>
    <s v="SAL0125A"/>
    <d v="2027-05-01T00:00:00"/>
    <n v="40"/>
    <x v="0"/>
  </r>
  <r>
    <x v="5"/>
    <s v="Dr. Anshul Sehgal"/>
    <s v="Santosh Rani"/>
    <n v="20"/>
    <x v="8"/>
    <s v="Sun Pharma"/>
    <s v="DOX0325C"/>
    <d v="2026-03-01T00:00:00"/>
    <n v="200"/>
    <x v="0"/>
  </r>
  <r>
    <x v="5"/>
    <s v="Dr. Amit Narang"/>
    <s v="Sumit Kumar"/>
    <n v="10"/>
    <x v="9"/>
    <s v="Mankind Pharma"/>
    <s v="PAN0325/25"/>
    <d v="2027-01-01T00:00:00"/>
    <n v="50"/>
    <x v="0"/>
  </r>
  <r>
    <x v="5"/>
    <s v="Dr. Ramphal Dhaka"/>
    <s v="Ravi Dhaka"/>
    <n v="2"/>
    <x v="10"/>
    <s v="GSK India"/>
    <s v="CRO0325B"/>
    <d v="2027-03-01T00:00:00"/>
    <n v="4"/>
    <x v="0"/>
  </r>
  <r>
    <x v="5"/>
    <s v="Dr. Amit Narang"/>
    <s v="Brijlalal Dhaka"/>
    <n v="9"/>
    <x v="11"/>
    <s v="GSK India"/>
    <s v="ENO1224/25"/>
    <d v="2027-05-01T00:00:00"/>
    <n v="90"/>
    <x v="0"/>
  </r>
  <r>
    <x v="5"/>
    <s v="OTC"/>
    <s v="Sanjay Riwar"/>
    <n v="2"/>
    <x v="12"/>
    <s v="Sanofi India"/>
    <s v="BET0125A"/>
    <d v="2027-09-01T00:00:00"/>
    <n v="240"/>
    <x v="0"/>
  </r>
  <r>
    <x v="5"/>
    <s v="OTC"/>
    <s v="Ramkla Devi"/>
    <n v="11"/>
    <x v="13"/>
    <s v="Mankind Pharma"/>
    <s v="ALB0225C"/>
    <d v="2027-06-01T00:00:00"/>
    <n v="220"/>
    <x v="0"/>
  </r>
  <r>
    <x v="6"/>
    <s v="OTC"/>
    <s v="Ravi Dhaka"/>
    <n v="30"/>
    <x v="14"/>
    <s v="Pfizer India"/>
    <s v="OXY0125C"/>
    <d v="2027-02-01T00:00:00"/>
    <n v="900"/>
    <x v="0"/>
  </r>
  <r>
    <x v="6"/>
    <s v="Dr. Satbir Khumber"/>
    <s v="Shyam Sunder"/>
    <n v="6"/>
    <x v="15"/>
    <s v="Abbott India"/>
    <s v="ENR0125C"/>
    <d v="2027-04-01T00:00:00"/>
    <n v="240"/>
    <x v="0"/>
  </r>
  <r>
    <x v="6"/>
    <s v="Dr. Manohar Pahuja"/>
    <s v="Manisha Rani"/>
    <n v="15"/>
    <x v="16"/>
    <s v="Sun Pharma"/>
    <s v="IVE0125X"/>
    <d v="2026-05-01T00:00:00"/>
    <n v="750"/>
    <x v="0"/>
  </r>
  <r>
    <x v="6"/>
    <s v="Dr. Amit Narang"/>
    <s v="Brijlalal Dhaka"/>
    <n v="25"/>
    <x v="0"/>
    <s v="Cipla"/>
    <s v="PAR0125A"/>
    <d v="2026-12-01T00:00:00"/>
    <n v="50"/>
    <x v="0"/>
  </r>
  <r>
    <x v="6"/>
    <s v="Dr. Amit Narang"/>
    <s v="Ankit Bhadu"/>
    <n v="29"/>
    <x v="1"/>
    <s v="Sun Pharma"/>
    <s v="IBU0125X"/>
    <d v="2026-06-01T00:00:00"/>
    <n v="87"/>
    <x v="0"/>
  </r>
  <r>
    <x v="6"/>
    <s v="Dr. Satbir Khumber"/>
    <s v="Brijlalal Dhaka"/>
    <n v="1"/>
    <x v="2"/>
    <s v="Dr. Reddyâ€™s"/>
    <s v="AMO0225C"/>
    <d v="2026-10-01T00:00:00"/>
    <n v="8"/>
    <x v="0"/>
  </r>
  <r>
    <x v="6"/>
    <s v="Dr. Kamaljeet Sambhyl"/>
    <s v="Umesh Kumar"/>
    <n v="20"/>
    <x v="3"/>
    <s v="Zydus Cadila"/>
    <s v="CET0425/25"/>
    <d v="2027-07-01T00:00:00"/>
    <n v="60"/>
    <x v="0"/>
  </r>
  <r>
    <x v="6"/>
    <s v="Dr. Satbir Khumber"/>
    <s v="Ankit Bhadu"/>
    <n v="9"/>
    <x v="4"/>
    <s v="Lupin"/>
    <s v="MET0325/25"/>
    <d v="2026-11-01T00:00:00"/>
    <n v="36"/>
    <x v="0"/>
  </r>
  <r>
    <x v="7"/>
    <s v="Dr. Renu Bansal"/>
    <s v="Kuldeep Singh"/>
    <n v="23"/>
    <x v="5"/>
    <s v="Torrent Pharma"/>
    <s v="AML1224/25"/>
    <d v="2027-03-01T00:00:00"/>
    <n v="115"/>
    <x v="0"/>
  </r>
  <r>
    <x v="7"/>
    <s v="Dr. Renu Bansal"/>
    <s v="Amit Dhaka"/>
    <n v="17"/>
    <x v="6"/>
    <s v="Alkem Laboratories"/>
    <s v="ATE0425B"/>
    <d v="2027-07-01T00:00:00"/>
    <n v="102"/>
    <x v="0"/>
  </r>
  <r>
    <x v="7"/>
    <s v="OTC"/>
    <s v="Ankit Bhadu"/>
    <n v="22"/>
    <x v="7"/>
    <s v="Cipla"/>
    <s v="SAL0325/25"/>
    <d v="2026-11-01T00:00:00"/>
    <n v="88"/>
    <x v="0"/>
  </r>
  <r>
    <x v="7"/>
    <s v="Dr. Amit Narang"/>
    <s v="Naresh Didharia"/>
    <n v="2"/>
    <x v="8"/>
    <s v="Sun Pharma"/>
    <s v="DOX0225/25"/>
    <d v="2026-08-01T00:00:00"/>
    <n v="20"/>
    <x v="0"/>
  </r>
  <r>
    <x v="7"/>
    <s v="Dr. Sameer Tuteja"/>
    <s v="Naresh Didharia"/>
    <n v="17"/>
    <x v="9"/>
    <s v="Mankind Pharma"/>
    <s v="PAN0125A"/>
    <d v="2027-04-01T00:00:00"/>
    <n v="85"/>
    <x v="0"/>
  </r>
  <r>
    <x v="7"/>
    <s v="Dr. HC Dahiya"/>
    <s v="Randhir Fageria"/>
    <n v="25"/>
    <x v="10"/>
    <s v="GSK India"/>
    <s v="CRO0225C"/>
    <d v="2026-07-01T00:00:00"/>
    <n v="50"/>
    <x v="0"/>
  </r>
  <r>
    <x v="7"/>
    <s v="Dr. Kamaljeet Sambhyl"/>
    <s v="Naresh Didharia"/>
    <n v="24"/>
    <x v="11"/>
    <s v="GSK India"/>
    <s v="ENO1224X"/>
    <d v="2026-04-01T00:00:00"/>
    <n v="240"/>
    <x v="0"/>
  </r>
  <r>
    <x v="7"/>
    <s v="Dr. Sameer Tuteja"/>
    <s v="Raman Dhaka"/>
    <n v="30"/>
    <x v="12"/>
    <s v="Sanofi India"/>
    <s v="BET0325/25"/>
    <d v="2026-10-01T00:00:00"/>
    <n v="3600"/>
    <x v="0"/>
  </r>
  <r>
    <x v="8"/>
    <s v="OTC"/>
    <s v="Santosh Rani"/>
    <n v="27"/>
    <x v="13"/>
    <s v="Mankind Pharma"/>
    <s v="ALB0125X"/>
    <d v="2027-11-01T00:00:00"/>
    <n v="540"/>
    <x v="0"/>
  </r>
  <r>
    <x v="8"/>
    <s v="OTC"/>
    <s v="Randhir Fageria"/>
    <n v="4"/>
    <x v="14"/>
    <s v="Pfizer India"/>
    <s v="OXY0125X"/>
    <d v="2026-12-01T00:00:00"/>
    <n v="120"/>
    <x v="0"/>
  </r>
  <r>
    <x v="8"/>
    <s v="Dr. Vinay Singla"/>
    <s v="Sumit Kumar"/>
    <n v="27"/>
    <x v="15"/>
    <s v="Abbott India"/>
    <s v="ENR0425C"/>
    <d v="2027-05-01T00:00:00"/>
    <n v="1080"/>
    <x v="0"/>
  </r>
  <r>
    <x v="8"/>
    <s v="OTC"/>
    <s v="Randhir Fageria"/>
    <n v="5"/>
    <x v="16"/>
    <s v="Sun Pharma"/>
    <s v="IVE0425B"/>
    <d v="2027-08-01T00:00:00"/>
    <n v="250"/>
    <x v="0"/>
  </r>
  <r>
    <x v="8"/>
    <s v="Dr. Satbir Khumber"/>
    <s v="Brijlalal Dhaka"/>
    <n v="28"/>
    <x v="0"/>
    <s v="Cipla"/>
    <s v="PAR0425B"/>
    <d v="2026-08-01T00:00:00"/>
    <n v="56"/>
    <x v="0"/>
  </r>
  <r>
    <x v="8"/>
    <s v="Dr. Vinay Singla"/>
    <s v="Amit Dhaka"/>
    <n v="25"/>
    <x v="1"/>
    <s v="Sun Pharma"/>
    <s v="IBU0425/25"/>
    <d v="2027-12-01T00:00:00"/>
    <n v="75"/>
    <x v="0"/>
  </r>
  <r>
    <x v="8"/>
    <s v="Dr. Amit Narang"/>
    <s v="Balbir Fageria"/>
    <n v="2"/>
    <x v="2"/>
    <s v="Dr. Reddyâ€™s"/>
    <s v="AMO0225A"/>
    <d v="2026-09-01T00:00:00"/>
    <n v="16"/>
    <x v="0"/>
  </r>
  <r>
    <x v="8"/>
    <s v="OTC"/>
    <s v="Naseeb Khakhal"/>
    <n v="23"/>
    <x v="3"/>
    <s v="Zydus Cadila"/>
    <s v="CET0125C"/>
    <d v="2027-12-01T00:00:00"/>
    <n v="69"/>
    <x v="0"/>
  </r>
  <r>
    <x v="9"/>
    <s v="Dr. Geeta Choudhary"/>
    <s v="Raman Dhaka"/>
    <n v="25"/>
    <x v="4"/>
    <s v="Lupin"/>
    <s v="MET0225C"/>
    <d v="2026-09-01T00:00:00"/>
    <n v="100"/>
    <x v="0"/>
  </r>
  <r>
    <x v="9"/>
    <s v="Dr. Geeta Choudhary"/>
    <s v="Chander Bhan"/>
    <n v="20"/>
    <x v="5"/>
    <s v="Torrent Pharma"/>
    <s v="AML0125X"/>
    <d v="2026-07-01T00:00:00"/>
    <n v="100"/>
    <x v="0"/>
  </r>
  <r>
    <x v="9"/>
    <s v="Dr. Geeta Choudhary"/>
    <s v="Ramkla Devi"/>
    <n v="8"/>
    <x v="6"/>
    <s v="Alkem Laboratories"/>
    <s v="ATE0125/25"/>
    <d v="2026-06-01T00:00:00"/>
    <n v="48"/>
    <x v="0"/>
  </r>
  <r>
    <x v="9"/>
    <s v="OTC"/>
    <s v="Amit Dhaka"/>
    <n v="12"/>
    <x v="7"/>
    <s v="Cipla"/>
    <s v="SAL0125X"/>
    <d v="2026-06-01T00:00:00"/>
    <n v="48"/>
    <x v="0"/>
  </r>
  <r>
    <x v="9"/>
    <s v="Dr. Amit Narang"/>
    <s v="Amit Dhaka"/>
    <n v="14"/>
    <x v="8"/>
    <s v="Sun Pharma"/>
    <s v="DOX0125A"/>
    <d v="2027-09-01T00:00:00"/>
    <n v="140"/>
    <x v="0"/>
  </r>
  <r>
    <x v="9"/>
    <s v="OTC"/>
    <s v="Sanjay Riwar"/>
    <n v="17"/>
    <x v="9"/>
    <s v="Mankind Pharma"/>
    <s v="PAN1224A"/>
    <d v="2027-06-01T00:00:00"/>
    <n v="85"/>
    <x v="0"/>
  </r>
  <r>
    <x v="9"/>
    <s v="Dr. Rajesh Batra"/>
    <s v="Ram Kumar"/>
    <n v="16"/>
    <x v="10"/>
    <s v="GSK India"/>
    <s v="CRO1224A"/>
    <d v="2026-11-01T00:00:00"/>
    <n v="32"/>
    <x v="0"/>
  </r>
  <r>
    <x v="9"/>
    <s v="Dr. Rajesh Batra"/>
    <s v="Naresh Didharia"/>
    <n v="15"/>
    <x v="11"/>
    <s v="GSK India"/>
    <s v="ENO0325B"/>
    <d v="2026-04-01T00:00:00"/>
    <n v="150"/>
    <x v="0"/>
  </r>
  <r>
    <x v="10"/>
    <s v="Dr. Geeta Choudhary"/>
    <s v="Mandeep Kumar"/>
    <n v="29"/>
    <x v="12"/>
    <s v="Sanofi India"/>
    <s v="BET0325C"/>
    <d v="2026-11-01T00:00:00"/>
    <n v="3480"/>
    <x v="0"/>
  </r>
  <r>
    <x v="10"/>
    <s v="Dr. Anshul Sehgal"/>
    <s v="Sube Ram"/>
    <n v="14"/>
    <x v="13"/>
    <s v="Mankind Pharma"/>
    <s v="ALB0325X"/>
    <d v="2027-03-01T00:00:00"/>
    <n v="280"/>
    <x v="0"/>
  </r>
  <r>
    <x v="10"/>
    <s v="OTC"/>
    <s v="Naseeb Khakhal"/>
    <n v="20"/>
    <x v="14"/>
    <s v="Pfizer India"/>
    <s v="OXY0325/25"/>
    <d v="2027-11-01T00:00:00"/>
    <n v="600"/>
    <x v="0"/>
  </r>
  <r>
    <x v="10"/>
    <s v="Dr. Rajesh Batra"/>
    <s v="Shishpal Sharma"/>
    <n v="4"/>
    <x v="15"/>
    <s v="Abbott India"/>
    <s v="ENR0325X"/>
    <d v="2027-05-01T00:00:00"/>
    <n v="160"/>
    <x v="0"/>
  </r>
  <r>
    <x v="10"/>
    <s v="OTC"/>
    <s v="Mohit Chaberwal"/>
    <n v="4"/>
    <x v="16"/>
    <s v="Sun Pharma"/>
    <s v="IVE0125A"/>
    <d v="2027-02-01T00:00:00"/>
    <n v="200"/>
    <x v="0"/>
  </r>
  <r>
    <x v="10"/>
    <s v="OTC"/>
    <s v="Sanjay Riwar"/>
    <n v="10"/>
    <x v="0"/>
    <s v="Cipla"/>
    <s v="PAR0425C"/>
    <d v="2027-12-01T00:00:00"/>
    <n v="20"/>
    <x v="0"/>
  </r>
  <r>
    <x v="10"/>
    <s v="Dr. Satbir Khumber"/>
    <s v="Baljinder Singh"/>
    <n v="16"/>
    <x v="1"/>
    <s v="Sun Pharma"/>
    <s v="IBU0325B"/>
    <d v="2026-12-01T00:00:00"/>
    <n v="48"/>
    <x v="0"/>
  </r>
  <r>
    <x v="10"/>
    <s v="OTC"/>
    <s v="Baljinder Singh"/>
    <n v="16"/>
    <x v="2"/>
    <s v="Dr. Reddyâ€™s"/>
    <s v="AMO0225C"/>
    <d v="2027-03-01T00:00:00"/>
    <n v="128"/>
    <x v="0"/>
  </r>
  <r>
    <x v="11"/>
    <s v="Dr. HC Dahiya"/>
    <s v="Ankit Bhadu"/>
    <n v="4"/>
    <x v="3"/>
    <s v="Zydus Cadila"/>
    <s v="CET0325B"/>
    <d v="2026-07-01T00:00:00"/>
    <n v="12"/>
    <x v="0"/>
  </r>
  <r>
    <x v="11"/>
    <s v="Dr. Sameer Tuteja"/>
    <s v="Balbir Fageria"/>
    <n v="9"/>
    <x v="4"/>
    <s v="Lupin"/>
    <s v="MET0325A"/>
    <d v="2028-01-01T00:00:00"/>
    <n v="36"/>
    <x v="0"/>
  </r>
  <r>
    <x v="11"/>
    <s v="OTC"/>
    <s v="Randhir Fageria"/>
    <n v="12"/>
    <x v="5"/>
    <s v="Torrent Pharma"/>
    <s v="AML0125A"/>
    <d v="2027-01-01T00:00:00"/>
    <n v="60"/>
    <x v="0"/>
  </r>
  <r>
    <x v="11"/>
    <s v="Dr. Geeta Choudhary"/>
    <s v="Radhe Shaym"/>
    <n v="9"/>
    <x v="6"/>
    <s v="Alkem Laboratories"/>
    <s v="ATE0125B"/>
    <d v="2026-10-01T00:00:00"/>
    <n v="54"/>
    <x v="0"/>
  </r>
  <r>
    <x v="11"/>
    <s v="Dr. Anshul Sehgal"/>
    <s v="Ram Kumar"/>
    <n v="20"/>
    <x v="7"/>
    <s v="Cipla"/>
    <s v="SAL0225X"/>
    <d v="2026-10-01T00:00:00"/>
    <n v="80"/>
    <x v="0"/>
  </r>
  <r>
    <x v="11"/>
    <s v="Dr. Kamaljeet Sambhyl"/>
    <s v="Raman Dhaka"/>
    <n v="29"/>
    <x v="8"/>
    <s v="Sun Pharma"/>
    <s v="DOX1224C"/>
    <d v="2027-08-01T00:00:00"/>
    <n v="290"/>
    <x v="0"/>
  </r>
  <r>
    <x v="11"/>
    <s v="Dr. Kamaljeet Sambhyl"/>
    <s v="Umesh Kumar"/>
    <n v="20"/>
    <x v="9"/>
    <s v="Mankind Pharma"/>
    <s v="PAN0125C"/>
    <d v="2027-09-01T00:00:00"/>
    <n v="100"/>
    <x v="0"/>
  </r>
  <r>
    <x v="11"/>
    <s v="Dr. Satbir Khumber"/>
    <s v="Tamanna Dhaka"/>
    <n v="23"/>
    <x v="10"/>
    <s v="GSK India"/>
    <s v="CRO0125/25"/>
    <d v="2027-04-01T00:00:00"/>
    <n v="46"/>
    <x v="0"/>
  </r>
  <r>
    <x v="12"/>
    <s v="OTC"/>
    <s v="Kuldeep Singh"/>
    <n v="11"/>
    <x v="11"/>
    <s v="GSK India"/>
    <s v="ENO0225A"/>
    <d v="2026-12-01T00:00:00"/>
    <n v="110"/>
    <x v="0"/>
  </r>
  <r>
    <x v="12"/>
    <s v="Dr. Renu Bansal"/>
    <s v="Yogesh Khicher"/>
    <n v="25"/>
    <x v="12"/>
    <s v="Sanofi India"/>
    <s v="BET0125C"/>
    <d v="2027-01-01T00:00:00"/>
    <n v="3000"/>
    <x v="0"/>
  </r>
  <r>
    <x v="12"/>
    <s v="Dr. Sameer Tuteja"/>
    <s v="Chander Bhan"/>
    <n v="29"/>
    <x v="13"/>
    <s v="Mankind Pharma"/>
    <s v="ALB0425C"/>
    <d v="2028-01-01T00:00:00"/>
    <n v="580"/>
    <x v="0"/>
  </r>
  <r>
    <x v="12"/>
    <s v="Dr. Vinay Singla"/>
    <s v="Yogesh Khicher"/>
    <n v="27"/>
    <x v="14"/>
    <s v="Pfizer India"/>
    <s v="OXY1224A"/>
    <d v="2025-12-01T00:00:00"/>
    <n v="810"/>
    <x v="0"/>
  </r>
  <r>
    <x v="12"/>
    <s v="OTC"/>
    <s v="Naseeb Khakhal"/>
    <n v="9"/>
    <x v="15"/>
    <s v="Abbott India"/>
    <s v="ENR1224A"/>
    <d v="2026-08-01T00:00:00"/>
    <n v="360"/>
    <x v="0"/>
  </r>
  <r>
    <x v="12"/>
    <s v="Dr. Satbir Khumber"/>
    <s v="Ankit Bhadu"/>
    <n v="12"/>
    <x v="16"/>
    <s v="Sun Pharma"/>
    <s v="IVE1224C"/>
    <d v="2026-02-01T00:00:00"/>
    <n v="600"/>
    <x v="0"/>
  </r>
  <r>
    <x v="12"/>
    <s v="Dr. Satbir Khumber"/>
    <s v="Sanjay Riwar"/>
    <n v="15"/>
    <x v="0"/>
    <s v="Cipla"/>
    <s v="PAR0225A"/>
    <d v="2026-10-01T00:00:00"/>
    <n v="30"/>
    <x v="0"/>
  </r>
  <r>
    <x v="12"/>
    <s v="Dr. HC Dahiya"/>
    <s v="Ramkla Devi"/>
    <n v="21"/>
    <x v="1"/>
    <s v="Sun Pharma"/>
    <s v="IBU0125B"/>
    <d v="2027-07-01T00:00:00"/>
    <n v="63"/>
    <x v="0"/>
  </r>
  <r>
    <x v="13"/>
    <s v="OTC"/>
    <s v="Mandeep Kumar"/>
    <n v="15"/>
    <x v="2"/>
    <s v="Dr. Reddyâ€™s"/>
    <s v="AMO0325/25"/>
    <d v="2026-11-01T00:00:00"/>
    <n v="120"/>
    <x v="0"/>
  </r>
  <r>
    <x v="13"/>
    <s v="Dr. Anshul Sehgal"/>
    <s v="Ankit Bhadu"/>
    <n v="2"/>
    <x v="3"/>
    <s v="Zydus Cadila"/>
    <s v="CET0425/25"/>
    <d v="2027-06-01T00:00:00"/>
    <n v="6"/>
    <x v="0"/>
  </r>
  <r>
    <x v="13"/>
    <s v="Dr. Ramphal Dhaka"/>
    <s v="Pawan Khakhal"/>
    <n v="29"/>
    <x v="4"/>
    <s v="Lupin"/>
    <s v="MET0125X"/>
    <d v="2026-06-01T00:00:00"/>
    <n v="116"/>
    <x v="0"/>
  </r>
  <r>
    <x v="13"/>
    <s v="Dr. Manohar Pahuja"/>
    <s v="Sanjay Riwar"/>
    <n v="25"/>
    <x v="5"/>
    <s v="Torrent Pharma"/>
    <s v="AML1224C"/>
    <d v="2026-10-01T00:00:00"/>
    <n v="125"/>
    <x v="0"/>
  </r>
  <r>
    <x v="13"/>
    <s v="Dr. Sameer Tuteja"/>
    <s v="Hari Singh"/>
    <n v="30"/>
    <x v="6"/>
    <s v="Alkem Laboratories"/>
    <s v="ATE0225X"/>
    <d v="2026-06-01T00:00:00"/>
    <n v="180"/>
    <x v="0"/>
  </r>
  <r>
    <x v="13"/>
    <s v="Dr. Satbir Khumber"/>
    <s v="Baljinder Singh"/>
    <n v="7"/>
    <x v="7"/>
    <s v="Cipla"/>
    <s v="SAL0225C"/>
    <d v="2027-07-01T00:00:00"/>
    <n v="28"/>
    <x v="0"/>
  </r>
  <r>
    <x v="13"/>
    <s v="OTC"/>
    <s v="Ravi Dhaka"/>
    <n v="19"/>
    <x v="8"/>
    <s v="Sun Pharma"/>
    <s v="DOX0425/25"/>
    <d v="2027-10-01T00:00:00"/>
    <n v="190"/>
    <x v="0"/>
  </r>
  <r>
    <x v="13"/>
    <s v="Dr. Manohar Pahuja"/>
    <s v="Santosh Rani"/>
    <n v="1"/>
    <x v="9"/>
    <s v="Mankind Pharma"/>
    <s v="PAN0425/25"/>
    <d v="2027-09-01T00:00:00"/>
    <n v="5"/>
    <x v="0"/>
  </r>
  <r>
    <x v="14"/>
    <s v="Dr. Renu Bansal"/>
    <s v="Naresh Didharia"/>
    <n v="3"/>
    <x v="10"/>
    <s v="GSK India"/>
    <s v="CRO0225A"/>
    <d v="2026-11-01T00:00:00"/>
    <n v="6"/>
    <x v="0"/>
  </r>
  <r>
    <x v="14"/>
    <s v="Dr. Manohar Pahuja"/>
    <s v="Santosh Rani"/>
    <n v="17"/>
    <x v="11"/>
    <s v="GSK India"/>
    <s v="ENO1224B"/>
    <d v="2026-08-01T00:00:00"/>
    <n v="170"/>
    <x v="0"/>
  </r>
  <r>
    <x v="14"/>
    <s v="Dr. Geeta Choudhary"/>
    <s v="Amar Burdak"/>
    <n v="11"/>
    <x v="12"/>
    <s v="Sanofi India"/>
    <s v="BET0125X"/>
    <d v="2027-02-01T00:00:00"/>
    <n v="1320"/>
    <x v="0"/>
  </r>
  <r>
    <x v="14"/>
    <s v="Dr. Satbir Khumber"/>
    <s v="Mandeep Kumar"/>
    <n v="24"/>
    <x v="13"/>
    <s v="Mankind Pharma"/>
    <s v="ALB1224/25"/>
    <d v="2027-09-01T00:00:00"/>
    <n v="480"/>
    <x v="0"/>
  </r>
  <r>
    <x v="14"/>
    <s v="Dr. Manohar Pahuja"/>
    <s v="Tamanna Dhaka"/>
    <n v="4"/>
    <x v="14"/>
    <s v="Pfizer India"/>
    <s v="OXY0325X"/>
    <d v="2027-09-01T00:00:00"/>
    <n v="120"/>
    <x v="0"/>
  </r>
  <r>
    <x v="14"/>
    <s v="Dr. Rajesh Batra"/>
    <s v="Dinesh Sharma"/>
    <n v="20"/>
    <x v="15"/>
    <s v="Abbott India"/>
    <s v="ENR0325X"/>
    <d v="2026-06-01T00:00:00"/>
    <n v="800"/>
    <x v="0"/>
  </r>
  <r>
    <x v="14"/>
    <s v="Dr. Kamaljeet Sambhyl"/>
    <s v="Sube Ram"/>
    <n v="16"/>
    <x v="16"/>
    <s v="Sun Pharma"/>
    <s v="IVE0125C"/>
    <d v="2027-10-01T00:00:00"/>
    <n v="800"/>
    <x v="0"/>
  </r>
  <r>
    <x v="14"/>
    <s v="OTC"/>
    <s v="Chander Bhan"/>
    <n v="3"/>
    <x v="0"/>
    <s v="Cipla"/>
    <s v="PAR1224A"/>
    <d v="2027-03-01T00:00:00"/>
    <n v="6"/>
    <x v="0"/>
  </r>
  <r>
    <x v="15"/>
    <s v="Dr. Amit Narang"/>
    <s v="Mandeep Kumar"/>
    <n v="29"/>
    <x v="1"/>
    <s v="Sun Pharma"/>
    <s v="IBU1224B"/>
    <d v="2026-09-01T00:00:00"/>
    <n v="87"/>
    <x v="0"/>
  </r>
  <r>
    <x v="15"/>
    <s v="Dr. Ramphal Dhaka"/>
    <s v="Brijlalal Dhaka"/>
    <n v="19"/>
    <x v="2"/>
    <s v="Dr. Reddyâ€™s"/>
    <s v="AMO0325C"/>
    <d v="2027-02-01T00:00:00"/>
    <n v="152"/>
    <x v="0"/>
  </r>
  <r>
    <x v="15"/>
    <s v="Dr. Virender Siwach"/>
    <s v="Manisha Rani"/>
    <n v="17"/>
    <x v="3"/>
    <s v="Zydus Cadila"/>
    <s v="CET0125B"/>
    <d v="2027-04-01T00:00:00"/>
    <n v="51"/>
    <x v="0"/>
  </r>
  <r>
    <x v="15"/>
    <s v="Dr. Virender Siwach"/>
    <s v="Radhe Shaym"/>
    <n v="7"/>
    <x v="4"/>
    <s v="Lupin"/>
    <s v="MET0225/25"/>
    <d v="2026-05-01T00:00:00"/>
    <n v="28"/>
    <x v="0"/>
  </r>
  <r>
    <x v="15"/>
    <s v="Dr. Ramphal Dhaka"/>
    <s v="Mandeep Kumar"/>
    <n v="28"/>
    <x v="5"/>
    <s v="Torrent Pharma"/>
    <s v="AML0125X"/>
    <d v="2026-09-01T00:00:00"/>
    <n v="140"/>
    <x v="0"/>
  </r>
  <r>
    <x v="15"/>
    <s v="Dr. Renu Bansal"/>
    <s v="Amar Burdak"/>
    <n v="17"/>
    <x v="6"/>
    <s v="Alkem Laboratories"/>
    <s v="ATE0325/25"/>
    <d v="2028-01-01T00:00:00"/>
    <n v="102"/>
    <x v="0"/>
  </r>
  <r>
    <x v="15"/>
    <s v="Dr. Satbir Khumber"/>
    <s v="Naseeb Khakhal"/>
    <n v="2"/>
    <x v="7"/>
    <s v="Cipla"/>
    <s v="SAL0125/25"/>
    <d v="2026-04-01T00:00:00"/>
    <n v="8"/>
    <x v="0"/>
  </r>
  <r>
    <x v="15"/>
    <s v="Dr. Renu Bansal"/>
    <s v="Umesh Kumar"/>
    <n v="18"/>
    <x v="8"/>
    <s v="Sun Pharma"/>
    <s v="DOX0325C"/>
    <d v="2027-01-01T00:00:00"/>
    <n v="180"/>
    <x v="0"/>
  </r>
  <r>
    <x v="16"/>
    <s v="Dr. Ramphal Dhaka"/>
    <s v="Ramkla Devi"/>
    <n v="11"/>
    <x v="9"/>
    <s v="Mankind Pharma"/>
    <s v="PAN1224A"/>
    <d v="2026-06-01T00:00:00"/>
    <n v="55"/>
    <x v="0"/>
  </r>
  <r>
    <x v="16"/>
    <s v="Dr. Renu Bansal"/>
    <s v="Shyam Sunder"/>
    <n v="25"/>
    <x v="10"/>
    <s v="GSK India"/>
    <s v="CRO0325A"/>
    <d v="2027-08-01T00:00:00"/>
    <n v="50"/>
    <x v="0"/>
  </r>
  <r>
    <x v="16"/>
    <s v="Dr. Vinay Singla"/>
    <s v="Ram Kumar"/>
    <n v="18"/>
    <x v="11"/>
    <s v="GSK India"/>
    <s v="ENO0225/25"/>
    <d v="2026-12-01T00:00:00"/>
    <n v="180"/>
    <x v="0"/>
  </r>
  <r>
    <x v="16"/>
    <s v="Dr. Kamaljeet Sambhyl"/>
    <s v="Sube Ram"/>
    <n v="26"/>
    <x v="12"/>
    <s v="Sanofi India"/>
    <s v="BET0325A"/>
    <d v="2026-11-01T00:00:00"/>
    <n v="3120"/>
    <x v="0"/>
  </r>
  <r>
    <x v="16"/>
    <s v="Dr. HC Dahiya"/>
    <s v="Dinesh Sharma"/>
    <n v="23"/>
    <x v="13"/>
    <s v="Mankind Pharma"/>
    <s v="ALB0425B"/>
    <d v="2027-02-01T00:00:00"/>
    <n v="460"/>
    <x v="0"/>
  </r>
  <r>
    <x v="16"/>
    <s v="Dr. Rajesh Batra"/>
    <s v="Naseeb Khakhal"/>
    <n v="23"/>
    <x v="14"/>
    <s v="Pfizer India"/>
    <s v="OXY0225X"/>
    <d v="2026-10-01T00:00:00"/>
    <n v="690"/>
    <x v="0"/>
  </r>
  <r>
    <x v="16"/>
    <s v="OTC"/>
    <s v="Sita Ram"/>
    <n v="20"/>
    <x v="15"/>
    <s v="Abbott India"/>
    <s v="ENR0125/25"/>
    <d v="2027-07-01T00:00:00"/>
    <n v="800"/>
    <x v="0"/>
  </r>
  <r>
    <x v="16"/>
    <s v="Dr. Sameer Tuteja"/>
    <s v="Amar Burdak"/>
    <n v="21"/>
    <x v="16"/>
    <s v="Sun Pharma"/>
    <s v="IVE0325/25"/>
    <d v="2026-05-01T00:00:00"/>
    <n v="1050"/>
    <x v="0"/>
  </r>
  <r>
    <x v="17"/>
    <s v="Dr. Rajesh Batra"/>
    <s v="Mohit Chaberwal"/>
    <n v="16"/>
    <x v="0"/>
    <s v="Cipla"/>
    <s v="PAR0225C"/>
    <d v="2026-05-01T00:00:00"/>
    <n v="32"/>
    <x v="0"/>
  </r>
  <r>
    <x v="17"/>
    <s v="OTC"/>
    <s v="Santosh Rani"/>
    <n v="19"/>
    <x v="1"/>
    <s v="Sun Pharma"/>
    <s v="IBU0125C"/>
    <d v="2026-01-01T00:00:00"/>
    <n v="57"/>
    <x v="0"/>
  </r>
  <r>
    <x v="17"/>
    <s v="Dr. Virender Siwach"/>
    <s v="Ram Kumar"/>
    <n v="23"/>
    <x v="2"/>
    <s v="Dr. Reddyâ€™s"/>
    <s v="AMO1224X"/>
    <d v="2027-01-01T00:00:00"/>
    <n v="184"/>
    <x v="0"/>
  </r>
  <r>
    <x v="17"/>
    <s v="OTC"/>
    <s v="Ramkla Devi"/>
    <n v="2"/>
    <x v="3"/>
    <s v="Zydus Cadila"/>
    <s v="CET1224C"/>
    <d v="2026-09-01T00:00:00"/>
    <n v="6"/>
    <x v="0"/>
  </r>
  <r>
    <x v="17"/>
    <s v="OTC"/>
    <s v="Sahil Chundwal"/>
    <n v="4"/>
    <x v="4"/>
    <s v="Lupin"/>
    <s v="MET0125B"/>
    <d v="2027-02-01T00:00:00"/>
    <n v="16"/>
    <x v="0"/>
  </r>
  <r>
    <x v="17"/>
    <s v="Dr. Virender Siwach"/>
    <s v="Ramkla Devi"/>
    <n v="9"/>
    <x v="5"/>
    <s v="Torrent Pharma"/>
    <s v="AML0325C"/>
    <d v="2027-10-01T00:00:00"/>
    <n v="45"/>
    <x v="0"/>
  </r>
  <r>
    <x v="17"/>
    <s v="Dr. HC Dahiya"/>
    <s v="Kuldeep Singh"/>
    <n v="2"/>
    <x v="6"/>
    <s v="Alkem Laboratories"/>
    <s v="ATE1224/25"/>
    <d v="2026-08-01T00:00:00"/>
    <n v="12"/>
    <x v="0"/>
  </r>
  <r>
    <x v="17"/>
    <s v="Dr. Geeta Choudhary"/>
    <s v="Manisha Rani"/>
    <n v="5"/>
    <x v="7"/>
    <s v="Cipla"/>
    <s v="SAL0125/25"/>
    <d v="2027-11-01T00:00:00"/>
    <n v="20"/>
    <x v="0"/>
  </r>
  <r>
    <x v="18"/>
    <s v="Dr. Renu Bansal"/>
    <s v="Sumitra Devi"/>
    <n v="17"/>
    <x v="8"/>
    <s v="Sun Pharma"/>
    <s v="DOX0125C"/>
    <d v="2026-12-01T00:00:00"/>
    <n v="170"/>
    <x v="0"/>
  </r>
  <r>
    <x v="18"/>
    <s v="Dr. Satbir Khumber"/>
    <s v="Sumit Kumar"/>
    <n v="12"/>
    <x v="9"/>
    <s v="Mankind Pharma"/>
    <s v="PAN0325/25"/>
    <d v="2027-01-01T00:00:00"/>
    <n v="60"/>
    <x v="0"/>
  </r>
  <r>
    <x v="18"/>
    <s v="Dr. Virender Siwach"/>
    <s v="Baljinder Singh"/>
    <n v="17"/>
    <x v="10"/>
    <s v="GSK India"/>
    <s v="CRO1224A"/>
    <d v="2026-12-01T00:00:00"/>
    <n v="34"/>
    <x v="0"/>
  </r>
  <r>
    <x v="18"/>
    <s v="Dr. Kamaljeet Sambhyl"/>
    <s v="Amar Burdak"/>
    <n v="16"/>
    <x v="11"/>
    <s v="GSK India"/>
    <s v="ENO0425A"/>
    <d v="2026-07-01T00:00:00"/>
    <n v="160"/>
    <x v="0"/>
  </r>
  <r>
    <x v="18"/>
    <s v="OTC"/>
    <s v="Ankit Bhadu"/>
    <n v="22"/>
    <x v="12"/>
    <s v="Sanofi India"/>
    <s v="BET1224C"/>
    <d v="2025-12-01T00:00:00"/>
    <n v="2640"/>
    <x v="0"/>
  </r>
  <r>
    <x v="18"/>
    <s v="Dr. HC Dahiya"/>
    <s v="Naresh Didharia"/>
    <n v="29"/>
    <x v="13"/>
    <s v="Mankind Pharma"/>
    <s v="ALB0325X"/>
    <d v="2026-10-01T00:00:00"/>
    <n v="580"/>
    <x v="0"/>
  </r>
  <r>
    <x v="18"/>
    <s v="OTC"/>
    <s v="Yogesh Khicher"/>
    <n v="3"/>
    <x v="14"/>
    <s v="Pfizer India"/>
    <s v="OXY0425B"/>
    <d v="2026-05-01T00:00:00"/>
    <n v="90"/>
    <x v="0"/>
  </r>
  <r>
    <x v="18"/>
    <s v="OTC"/>
    <s v="Umesh Kumar"/>
    <n v="20"/>
    <x v="15"/>
    <s v="Abbott India"/>
    <s v="ENR0425/25"/>
    <d v="2027-05-01T00:00:00"/>
    <n v="800"/>
    <x v="0"/>
  </r>
  <r>
    <x v="19"/>
    <s v="Dr. Virender Siwach"/>
    <s v="Sahil Chundwal"/>
    <n v="14"/>
    <x v="16"/>
    <s v="Sun Pharma"/>
    <s v="IVE0225/25"/>
    <d v="2026-10-01T00:00:00"/>
    <n v="700"/>
    <x v="0"/>
  </r>
  <r>
    <x v="19"/>
    <s v="Dr. Satbir Khumber"/>
    <s v="Amar Burdak"/>
    <n v="29"/>
    <x v="0"/>
    <s v="Cipla"/>
    <s v="PAR0325C"/>
    <d v="2027-10-01T00:00:00"/>
    <n v="58"/>
    <x v="0"/>
  </r>
  <r>
    <x v="19"/>
    <s v="Dr. Sameer Tuteja"/>
    <s v="Sita Ram"/>
    <n v="11"/>
    <x v="1"/>
    <s v="Sun Pharma"/>
    <s v="IBU0225A"/>
    <d v="2026-07-01T00:00:00"/>
    <n v="33"/>
    <x v="0"/>
  </r>
  <r>
    <x v="19"/>
    <s v="Dr. Anshul Sehgal"/>
    <s v="Naresh Didharia"/>
    <n v="30"/>
    <x v="2"/>
    <s v="Dr. Reddyâ€™s"/>
    <s v="AMO0225B"/>
    <d v="2027-10-01T00:00:00"/>
    <n v="240"/>
    <x v="0"/>
  </r>
  <r>
    <x v="19"/>
    <s v="Dr. Virender Siwach"/>
    <s v="Amit Dhaka"/>
    <n v="12"/>
    <x v="3"/>
    <s v="Zydus Cadila"/>
    <s v="CET0225A"/>
    <d v="2027-04-01T00:00:00"/>
    <n v="36"/>
    <x v="0"/>
  </r>
  <r>
    <x v="19"/>
    <s v="OTC"/>
    <s v="Brijlalal Dhaka"/>
    <n v="13"/>
    <x v="4"/>
    <s v="Lupin"/>
    <s v="MET0125X"/>
    <d v="2026-01-01T00:00:00"/>
    <n v="52"/>
    <x v="0"/>
  </r>
  <r>
    <x v="19"/>
    <s v="Dr. Virender Siwach"/>
    <s v="Umesh Kumar"/>
    <n v="26"/>
    <x v="5"/>
    <s v="Torrent Pharma"/>
    <s v="AML0325A"/>
    <d v="2027-07-01T00:00:00"/>
    <n v="130"/>
    <x v="0"/>
  </r>
  <r>
    <x v="19"/>
    <s v="Dr. Manohar Pahuja"/>
    <s v="Mandeep Kumar"/>
    <n v="6"/>
    <x v="6"/>
    <s v="Alkem Laboratories"/>
    <s v="ATE0425C"/>
    <d v="2026-06-01T00:00:00"/>
    <n v="36"/>
    <x v="0"/>
  </r>
  <r>
    <x v="20"/>
    <s v="Dr. Geeta Choudhary"/>
    <s v="Hari Singh"/>
    <n v="6"/>
    <x v="7"/>
    <s v="Cipla"/>
    <s v="SAL0125X"/>
    <d v="2026-04-01T00:00:00"/>
    <n v="24"/>
    <x v="0"/>
  </r>
  <r>
    <x v="20"/>
    <s v="OTC"/>
    <s v="Ankit Bhadu"/>
    <n v="15"/>
    <x v="8"/>
    <s v="Sun Pharma"/>
    <s v="DOX0325X"/>
    <d v="2027-10-01T00:00:00"/>
    <n v="150"/>
    <x v="0"/>
  </r>
  <r>
    <x v="20"/>
    <s v="Dr. HC Dahiya"/>
    <s v="Ankit Bhadu"/>
    <n v="30"/>
    <x v="9"/>
    <s v="Mankind Pharma"/>
    <s v="PAN0125/25"/>
    <d v="2027-08-01T00:00:00"/>
    <n v="150"/>
    <x v="0"/>
  </r>
  <r>
    <x v="20"/>
    <s v="Dr. Renu Bansal"/>
    <s v="Santosh Rani"/>
    <n v="30"/>
    <x v="10"/>
    <s v="GSK India"/>
    <s v="CRO0125/25"/>
    <d v="2026-07-01T00:00:00"/>
    <n v="60"/>
    <x v="0"/>
  </r>
  <r>
    <x v="20"/>
    <s v="Dr. HC Dahiya"/>
    <s v="Sumitra Devi"/>
    <n v="5"/>
    <x v="11"/>
    <s v="GSK India"/>
    <s v="ENO0125A"/>
    <d v="2026-12-01T00:00:00"/>
    <n v="50"/>
    <x v="0"/>
  </r>
  <r>
    <x v="20"/>
    <s v="OTC"/>
    <s v="Dinesh Sharma"/>
    <n v="20"/>
    <x v="12"/>
    <s v="Sanofi India"/>
    <s v="BET0425/25"/>
    <d v="2027-03-01T00:00:00"/>
    <n v="2400"/>
    <x v="0"/>
  </r>
  <r>
    <x v="20"/>
    <s v="Dr. Virender Siwach"/>
    <s v="Mandeep Kumar"/>
    <n v="29"/>
    <x v="13"/>
    <s v="Mankind Pharma"/>
    <s v="ALB0125B"/>
    <d v="2026-01-01T00:00:00"/>
    <n v="580"/>
    <x v="0"/>
  </r>
  <r>
    <x v="20"/>
    <s v="Dr. Anshul Sehgal"/>
    <s v="Mandeep Kumar"/>
    <n v="2"/>
    <x v="14"/>
    <s v="Pfizer India"/>
    <s v="OXY1224B"/>
    <d v="2027-02-01T00:00:00"/>
    <n v="60"/>
    <x v="0"/>
  </r>
  <r>
    <x v="21"/>
    <s v="OTC"/>
    <s v="Umesh Kumar"/>
    <n v="14"/>
    <x v="15"/>
    <s v="Abbott India"/>
    <s v="ENR0225A"/>
    <d v="2026-12-01T00:00:00"/>
    <n v="560"/>
    <x v="0"/>
  </r>
  <r>
    <x v="21"/>
    <s v="Dr. Renu Bansal"/>
    <s v="Radhe Shaym"/>
    <n v="10"/>
    <x v="16"/>
    <s v="Sun Pharma"/>
    <s v="IVE0325/25"/>
    <d v="2027-06-01T00:00:00"/>
    <n v="500"/>
    <x v="0"/>
  </r>
  <r>
    <x v="21"/>
    <s v="Dr. Rajesh Batra"/>
    <s v="Mandeep Kumar"/>
    <n v="20"/>
    <x v="0"/>
    <s v="Cipla"/>
    <s v="PAR0125A"/>
    <d v="2026-06-01T00:00:00"/>
    <n v="40"/>
    <x v="0"/>
  </r>
  <r>
    <x v="21"/>
    <s v="OTC"/>
    <s v="Pawan Khakhal"/>
    <n v="12"/>
    <x v="1"/>
    <s v="Sun Pharma"/>
    <s v="IBU0225/25"/>
    <d v="2026-10-01T00:00:00"/>
    <n v="36"/>
    <x v="0"/>
  </r>
  <r>
    <x v="21"/>
    <s v="Dr. Virender Siwach"/>
    <s v="Mohit Chaberwal"/>
    <n v="4"/>
    <x v="2"/>
    <s v="Dr. Reddyâ€™s"/>
    <s v="AMO0425/25"/>
    <d v="2027-04-01T00:00:00"/>
    <n v="32"/>
    <x v="0"/>
  </r>
  <r>
    <x v="21"/>
    <s v="OTC"/>
    <s v="Brijlalal Dhaka"/>
    <n v="8"/>
    <x v="3"/>
    <s v="Zydus Cadila"/>
    <s v="CET0425C"/>
    <d v="2028-01-01T00:00:00"/>
    <n v="24"/>
    <x v="0"/>
  </r>
  <r>
    <x v="21"/>
    <s v="Dr. Manohar Pahuja"/>
    <s v="Brijlalal Dhaka"/>
    <n v="25"/>
    <x v="4"/>
    <s v="Lupin"/>
    <s v="MET0225A"/>
    <d v="2027-09-01T00:00:00"/>
    <n v="100"/>
    <x v="0"/>
  </r>
  <r>
    <x v="21"/>
    <s v="Dr. Sameer Tuteja"/>
    <s v="Dinesh Sharma"/>
    <n v="27"/>
    <x v="5"/>
    <s v="Torrent Pharma"/>
    <s v="AML1224X"/>
    <d v="2027-01-01T00:00:00"/>
    <n v="135"/>
    <x v="0"/>
  </r>
  <r>
    <x v="22"/>
    <s v="Dr. Anshul Sehgal"/>
    <s v="Sumitra Devi"/>
    <n v="10"/>
    <x v="6"/>
    <s v="Alkem Laboratories"/>
    <s v="ATE1224C"/>
    <d v="2027-10-01T00:00:00"/>
    <n v="60"/>
    <x v="0"/>
  </r>
  <r>
    <x v="22"/>
    <s v="Dr. Renu Bansal"/>
    <s v="Radhe Shaym"/>
    <n v="16"/>
    <x v="7"/>
    <s v="Cipla"/>
    <s v="SAL0425C"/>
    <d v="2026-06-01T00:00:00"/>
    <n v="64"/>
    <x v="0"/>
  </r>
  <r>
    <x v="22"/>
    <s v="Dr. Virender Siwach"/>
    <s v="Ramkla Devi"/>
    <n v="13"/>
    <x v="8"/>
    <s v="Sun Pharma"/>
    <s v="DOX1224A"/>
    <d v="2026-03-01T00:00:00"/>
    <n v="130"/>
    <x v="0"/>
  </r>
  <r>
    <x v="22"/>
    <s v="Dr. Rajesh Batra"/>
    <s v="Baljinder Singh"/>
    <n v="13"/>
    <x v="9"/>
    <s v="Mankind Pharma"/>
    <s v="PAN0325/25"/>
    <d v="2027-09-01T00:00:00"/>
    <n v="65"/>
    <x v="0"/>
  </r>
  <r>
    <x v="22"/>
    <s v="OTC"/>
    <s v="Tamanna Dhaka"/>
    <n v="22"/>
    <x v="10"/>
    <s v="GSK India"/>
    <s v="CRO0225C"/>
    <d v="2027-11-01T00:00:00"/>
    <n v="44"/>
    <x v="0"/>
  </r>
  <r>
    <x v="22"/>
    <s v="OTC"/>
    <s v="Hari Singh"/>
    <n v="20"/>
    <x v="11"/>
    <s v="GSK India"/>
    <s v="ENO0125C"/>
    <d v="2026-02-01T00:00:00"/>
    <n v="200"/>
    <x v="0"/>
  </r>
  <r>
    <x v="22"/>
    <s v="Dr. Virender Siwach"/>
    <s v="Sahil Chundwal"/>
    <n v="10"/>
    <x v="12"/>
    <s v="Sanofi India"/>
    <s v="BET0125/25"/>
    <d v="2027-07-01T00:00:00"/>
    <n v="1200"/>
    <x v="0"/>
  </r>
  <r>
    <x v="22"/>
    <s v="OTC"/>
    <s v="Sumit Kumar"/>
    <n v="24"/>
    <x v="13"/>
    <s v="Mankind Pharma"/>
    <s v="ALB0225/25"/>
    <d v="2026-03-01T00:00:00"/>
    <n v="480"/>
    <x v="0"/>
  </r>
  <r>
    <x v="23"/>
    <s v="Dr. Ramphal Dhaka"/>
    <s v="Naresh Didharia"/>
    <n v="28"/>
    <x v="14"/>
    <s v="Pfizer India"/>
    <s v="OXY0125X"/>
    <d v="2026-02-01T00:00:00"/>
    <n v="840"/>
    <x v="0"/>
  </r>
  <r>
    <x v="23"/>
    <s v="OTC"/>
    <s v="Pawan Khakhal"/>
    <n v="3"/>
    <x v="15"/>
    <s v="Abbott India"/>
    <s v="ENR0225B"/>
    <d v="2027-06-01T00:00:00"/>
    <n v="120"/>
    <x v="0"/>
  </r>
  <r>
    <x v="23"/>
    <s v="OTC"/>
    <s v="Chander Bhan"/>
    <n v="2"/>
    <x v="16"/>
    <s v="Sun Pharma"/>
    <s v="IVE1224/25"/>
    <d v="2026-09-01T00:00:00"/>
    <n v="100"/>
    <x v="0"/>
  </r>
  <r>
    <x v="23"/>
    <s v="Dr. Ramphal Dhaka"/>
    <s v="Umesh Kumar"/>
    <n v="12"/>
    <x v="0"/>
    <s v="Cipla"/>
    <s v="PAR0425B"/>
    <d v="2026-11-01T00:00:00"/>
    <n v="24"/>
    <x v="0"/>
  </r>
  <r>
    <x v="23"/>
    <s v="Dr. Satbir Khumber"/>
    <s v="Santosh Rani"/>
    <n v="20"/>
    <x v="1"/>
    <s v="Sun Pharma"/>
    <s v="IBU0425X"/>
    <d v="2027-06-01T00:00:00"/>
    <n v="60"/>
    <x v="0"/>
  </r>
  <r>
    <x v="23"/>
    <s v="Dr. HC Dahiya"/>
    <s v="Balbir Fageria"/>
    <n v="23"/>
    <x v="2"/>
    <s v="Dr. Reddyâ€™s"/>
    <s v="AMO1224B"/>
    <d v="2026-08-01T00:00:00"/>
    <n v="184"/>
    <x v="0"/>
  </r>
  <r>
    <x v="23"/>
    <s v="Dr. Satbir Khumber"/>
    <s v="Mandeep Kumar"/>
    <n v="29"/>
    <x v="3"/>
    <s v="Zydus Cadila"/>
    <s v="CET1224X"/>
    <d v="2026-08-01T00:00:00"/>
    <n v="87"/>
    <x v="0"/>
  </r>
  <r>
    <x v="23"/>
    <s v="Dr. Satbir Khumber"/>
    <s v="Ramkla Devi"/>
    <n v="23"/>
    <x v="4"/>
    <s v="Lupin"/>
    <s v="MET0125/25"/>
    <d v="2027-09-01T00:00:00"/>
    <n v="92"/>
    <x v="0"/>
  </r>
  <r>
    <x v="24"/>
    <s v="OTC"/>
    <s v="Radhe Shaym"/>
    <n v="23"/>
    <x v="5"/>
    <s v="Torrent Pharma"/>
    <s v="AML0125C"/>
    <d v="2026-05-01T00:00:00"/>
    <n v="115"/>
    <x v="0"/>
  </r>
  <r>
    <x v="24"/>
    <s v="Dr. Geeta Choudhary"/>
    <s v="Tamanna Dhaka"/>
    <n v="29"/>
    <x v="6"/>
    <s v="Alkem Laboratories"/>
    <s v="ATE0225B"/>
    <d v="2027-10-01T00:00:00"/>
    <n v="174"/>
    <x v="0"/>
  </r>
  <r>
    <x v="24"/>
    <s v="Dr. Kamaljeet Sambhyl"/>
    <s v="Santosh Rani"/>
    <n v="12"/>
    <x v="7"/>
    <s v="Cipla"/>
    <s v="SAL0425/25"/>
    <d v="2026-10-01T00:00:00"/>
    <n v="48"/>
    <x v="0"/>
  </r>
  <r>
    <x v="24"/>
    <s v="Dr. Geeta Choudhary"/>
    <s v="Sumit Kumar"/>
    <n v="18"/>
    <x v="8"/>
    <s v="Sun Pharma"/>
    <s v="DOX0225/25"/>
    <d v="2026-11-01T00:00:00"/>
    <n v="180"/>
    <x v="0"/>
  </r>
  <r>
    <x v="24"/>
    <s v="OTC"/>
    <s v="Randhir Fageria"/>
    <n v="8"/>
    <x v="9"/>
    <s v="Mankind Pharma"/>
    <s v="PAN0125B"/>
    <d v="2027-01-01T00:00:00"/>
    <n v="40"/>
    <x v="0"/>
  </r>
  <r>
    <x v="24"/>
    <s v="Dr. Rajesh Batra"/>
    <s v="Radhe Shaym"/>
    <n v="13"/>
    <x v="10"/>
    <s v="GSK India"/>
    <s v="CRO0125/25"/>
    <d v="2027-07-01T00:00:00"/>
    <n v="26"/>
    <x v="0"/>
  </r>
  <r>
    <x v="24"/>
    <s v="OTC"/>
    <s v="Chander Bhan"/>
    <n v="29"/>
    <x v="11"/>
    <s v="GSK India"/>
    <s v="ENO0125A"/>
    <d v="2026-03-01T00:00:00"/>
    <n v="290"/>
    <x v="0"/>
  </r>
  <r>
    <x v="24"/>
    <s v="OTC"/>
    <s v="Hari Singh"/>
    <n v="24"/>
    <x v="12"/>
    <s v="Sanofi India"/>
    <s v="BET1224A"/>
    <d v="2027-03-01T00:00:00"/>
    <n v="2880"/>
    <x v="0"/>
  </r>
  <r>
    <x v="25"/>
    <s v="Dr. Amit Narang"/>
    <s v="Sumit Kumar"/>
    <n v="11"/>
    <x v="13"/>
    <s v="Mankind Pharma"/>
    <s v="ALB1224B"/>
    <d v="2026-10-01T00:00:00"/>
    <n v="220"/>
    <x v="0"/>
  </r>
  <r>
    <x v="25"/>
    <s v="Dr. Kamaljeet Sambhyl"/>
    <s v="Kuldeep Singh"/>
    <n v="9"/>
    <x v="14"/>
    <s v="Pfizer India"/>
    <s v="OXY0125/25"/>
    <d v="2026-08-01T00:00:00"/>
    <n v="270"/>
    <x v="0"/>
  </r>
  <r>
    <x v="25"/>
    <s v="OTC"/>
    <s v="Sita Ram"/>
    <n v="13"/>
    <x v="15"/>
    <s v="Abbott India"/>
    <s v="ENR1224B"/>
    <d v="2026-07-01T00:00:00"/>
    <n v="520"/>
    <x v="0"/>
  </r>
  <r>
    <x v="25"/>
    <s v="Dr. Rajesh Batra"/>
    <s v="Pawan Khakhal"/>
    <n v="29"/>
    <x v="16"/>
    <s v="Sun Pharma"/>
    <s v="IVE0125A"/>
    <d v="2027-03-01T00:00:00"/>
    <n v="1450"/>
    <x v="0"/>
  </r>
  <r>
    <x v="25"/>
    <s v="OTC"/>
    <s v="Manisha Rani"/>
    <n v="19"/>
    <x v="0"/>
    <s v="Cipla"/>
    <s v="PAR0225B"/>
    <d v="2026-11-01T00:00:00"/>
    <n v="38"/>
    <x v="0"/>
  </r>
  <r>
    <x v="25"/>
    <s v="Dr. Ramphal Dhaka"/>
    <s v="Sumitra Devi"/>
    <n v="2"/>
    <x v="1"/>
    <s v="Sun Pharma"/>
    <s v="IBU1224/25"/>
    <d v="2027-06-01T00:00:00"/>
    <n v="6"/>
    <x v="0"/>
  </r>
  <r>
    <x v="25"/>
    <s v="Dr. Satbir Khumber"/>
    <s v="Manisha Rani"/>
    <n v="4"/>
    <x v="2"/>
    <s v="Dr. Reddyâ€™s"/>
    <s v="AMO0125X"/>
    <d v="2027-07-01T00:00:00"/>
    <n v="32"/>
    <x v="0"/>
  </r>
  <r>
    <x v="25"/>
    <s v="Dr. Sameer Tuteja"/>
    <s v="Pawan Khakhal"/>
    <n v="10"/>
    <x v="3"/>
    <s v="Zydus Cadila"/>
    <s v="CET0125/25"/>
    <d v="2027-04-01T00:00:00"/>
    <n v="30"/>
    <x v="0"/>
  </r>
  <r>
    <x v="26"/>
    <s v="Dr. Virender Siwach"/>
    <s v="Ankit Bhadu"/>
    <n v="19"/>
    <x v="4"/>
    <s v="Lupin"/>
    <s v="MET0325/25"/>
    <d v="2027-10-01T00:00:00"/>
    <n v="76"/>
    <x v="0"/>
  </r>
  <r>
    <x v="26"/>
    <s v="Dr. Amit Narang"/>
    <s v="Amit Dhaka"/>
    <n v="10"/>
    <x v="5"/>
    <s v="Torrent Pharma"/>
    <s v="AML0325/25"/>
    <d v="2027-05-01T00:00:00"/>
    <n v="50"/>
    <x v="0"/>
  </r>
  <r>
    <x v="26"/>
    <s v="Dr. Manohar Pahuja"/>
    <s v="Ram Kumar"/>
    <n v="21"/>
    <x v="6"/>
    <s v="Alkem Laboratories"/>
    <s v="ATE0125B"/>
    <d v="2026-05-01T00:00:00"/>
    <n v="126"/>
    <x v="0"/>
  </r>
  <r>
    <x v="26"/>
    <s v="Dr. Kamaljeet Sambhyl"/>
    <s v="Ramkla Devi"/>
    <n v="26"/>
    <x v="7"/>
    <s v="Cipla"/>
    <s v="SAL0125/25"/>
    <d v="2026-10-01T00:00:00"/>
    <n v="104"/>
    <x v="0"/>
  </r>
  <r>
    <x v="26"/>
    <s v="Dr. HC Dahiya"/>
    <s v="Sanjay Riwar"/>
    <n v="27"/>
    <x v="8"/>
    <s v="Sun Pharma"/>
    <s v="DOX0225C"/>
    <d v="2027-12-01T00:00:00"/>
    <n v="270"/>
    <x v="0"/>
  </r>
  <r>
    <x v="26"/>
    <s v="Dr. Rajesh Batra"/>
    <s v="Santosh Rani"/>
    <n v="28"/>
    <x v="9"/>
    <s v="Mankind Pharma"/>
    <s v="PAN0425/25"/>
    <d v="2027-02-01T00:00:00"/>
    <n v="140"/>
    <x v="0"/>
  </r>
  <r>
    <x v="26"/>
    <s v="Dr. Renu Bansal"/>
    <s v="Santosh Rani"/>
    <n v="12"/>
    <x v="10"/>
    <s v="GSK India"/>
    <s v="CRO0225C"/>
    <d v="2026-12-01T00:00:00"/>
    <n v="24"/>
    <x v="0"/>
  </r>
  <r>
    <x v="26"/>
    <s v="OTC"/>
    <s v="Ram Kumar"/>
    <n v="29"/>
    <x v="11"/>
    <s v="GSK India"/>
    <s v="ENO0325C"/>
    <d v="2028-02-01T00:00:00"/>
    <n v="290"/>
    <x v="0"/>
  </r>
  <r>
    <x v="27"/>
    <s v="OTC"/>
    <s v="Yogesh Khicher"/>
    <n v="11"/>
    <x v="12"/>
    <s v="Sanofi India"/>
    <s v="BET0125C"/>
    <d v="2026-03-01T00:00:00"/>
    <n v="1320"/>
    <x v="0"/>
  </r>
  <r>
    <x v="27"/>
    <s v="Dr. Sameer Tuteja"/>
    <s v="Raman Dhaka"/>
    <n v="24"/>
    <x v="13"/>
    <s v="Mankind Pharma"/>
    <s v="ALB0325A"/>
    <d v="2026-03-01T00:00:00"/>
    <n v="480"/>
    <x v="0"/>
  </r>
  <r>
    <x v="27"/>
    <s v="Dr. Anshul Sehgal"/>
    <s v="Ramkla Devi"/>
    <n v="5"/>
    <x v="14"/>
    <s v="Pfizer India"/>
    <s v="OXY0425/25"/>
    <d v="2026-12-01T00:00:00"/>
    <n v="150"/>
    <x v="0"/>
  </r>
  <r>
    <x v="27"/>
    <s v="Dr. Anshul Sehgal"/>
    <s v="Naseeb Khakhal"/>
    <n v="2"/>
    <x v="15"/>
    <s v="Abbott India"/>
    <s v="ENR1224B"/>
    <d v="2027-01-01T00:00:00"/>
    <n v="80"/>
    <x v="0"/>
  </r>
  <r>
    <x v="27"/>
    <s v="Dr. Geeta Choudhary"/>
    <s v="Sumitra Devi"/>
    <n v="11"/>
    <x v="16"/>
    <s v="Sun Pharma"/>
    <s v="IVE0325B"/>
    <d v="2026-06-01T00:00:00"/>
    <n v="550"/>
    <x v="0"/>
  </r>
  <r>
    <x v="27"/>
    <s v="Dr. Renu Bansal"/>
    <s v="Amit Dhaka"/>
    <n v="11"/>
    <x v="0"/>
    <s v="Cipla"/>
    <s v="PAR0225/25"/>
    <d v="2027-07-01T00:00:00"/>
    <n v="22"/>
    <x v="0"/>
  </r>
  <r>
    <x v="27"/>
    <s v="OTC"/>
    <s v="Brijlalal Dhaka"/>
    <n v="9"/>
    <x v="1"/>
    <s v="Sun Pharma"/>
    <s v="IBU0125C"/>
    <d v="2026-11-01T00:00:00"/>
    <n v="27"/>
    <x v="0"/>
  </r>
  <r>
    <x v="27"/>
    <s v="OTC"/>
    <s v="Shyam Sunder"/>
    <n v="2"/>
    <x v="2"/>
    <s v="Dr. Reddyâ€™s"/>
    <s v="AMO0125X"/>
    <d v="2026-05-01T00:00:00"/>
    <n v="16"/>
    <x v="0"/>
  </r>
  <r>
    <x v="28"/>
    <s v="Dr. Rajesh Batra"/>
    <s v="Amit Dhaka"/>
    <n v="28"/>
    <x v="3"/>
    <s v="Zydus Cadila"/>
    <s v="CET0425/25"/>
    <d v="2026-06-01T00:00:00"/>
    <n v="84"/>
    <x v="0"/>
  </r>
  <r>
    <x v="28"/>
    <s v="Dr. Virender Siwach"/>
    <s v="Ram Kumar"/>
    <n v="26"/>
    <x v="4"/>
    <s v="Lupin"/>
    <s v="MET0225A"/>
    <d v="2027-09-01T00:00:00"/>
    <n v="104"/>
    <x v="0"/>
  </r>
  <r>
    <x v="28"/>
    <s v="Dr. Ramphal Dhaka"/>
    <s v="Randhir Fageria"/>
    <n v="9"/>
    <x v="5"/>
    <s v="Torrent Pharma"/>
    <s v="AML0425C"/>
    <d v="2027-09-01T00:00:00"/>
    <n v="45"/>
    <x v="0"/>
  </r>
  <r>
    <x v="28"/>
    <s v="OTC"/>
    <s v="Umesh Kumar"/>
    <n v="9"/>
    <x v="6"/>
    <s v="Alkem Laboratories"/>
    <s v="ATE0225X"/>
    <d v="2027-10-01T00:00:00"/>
    <n v="54"/>
    <x v="0"/>
  </r>
  <r>
    <x v="28"/>
    <s v="Dr. Ramphal Dhaka"/>
    <s v="Shyam Sunder"/>
    <n v="20"/>
    <x v="7"/>
    <s v="Cipla"/>
    <s v="SAL0425C"/>
    <d v="2027-11-01T00:00:00"/>
    <n v="80"/>
    <x v="0"/>
  </r>
  <r>
    <x v="28"/>
    <s v="OTC"/>
    <s v="Sita Ram"/>
    <n v="2"/>
    <x v="8"/>
    <s v="Sun Pharma"/>
    <s v="DOX0225X"/>
    <d v="2026-12-01T00:00:00"/>
    <n v="20"/>
    <x v="0"/>
  </r>
  <r>
    <x v="28"/>
    <s v="OTC"/>
    <s v="Sita Ram"/>
    <n v="9"/>
    <x v="9"/>
    <s v="Mankind Pharma"/>
    <s v="PAN0225X"/>
    <d v="2027-01-01T00:00:00"/>
    <n v="45"/>
    <x v="0"/>
  </r>
  <r>
    <x v="28"/>
    <s v="OTC"/>
    <s v="Mandeep Kumar"/>
    <n v="10"/>
    <x v="10"/>
    <s v="GSK India"/>
    <s v="CRO0225C"/>
    <d v="2027-05-01T00:00:00"/>
    <n v="20"/>
    <x v="0"/>
  </r>
  <r>
    <x v="29"/>
    <s v="Dr. Vinay Singla"/>
    <s v="Randhir Fageria"/>
    <n v="8"/>
    <x v="11"/>
    <s v="GSK India"/>
    <s v="ENO1224X"/>
    <d v="2026-06-01T00:00:00"/>
    <n v="80"/>
    <x v="0"/>
  </r>
  <r>
    <x v="29"/>
    <s v="Dr. Kamaljeet Sambhyl"/>
    <s v="Naseeb Khakhal"/>
    <n v="7"/>
    <x v="12"/>
    <s v="Sanofi India"/>
    <s v="BET0125X"/>
    <d v="2026-09-01T00:00:00"/>
    <n v="840"/>
    <x v="0"/>
  </r>
  <r>
    <x v="29"/>
    <s v="Dr. Geeta Choudhary"/>
    <s v="Sanjay Riwar"/>
    <n v="9"/>
    <x v="13"/>
    <s v="Mankind Pharma"/>
    <s v="ALB1224C"/>
    <d v="2027-04-01T00:00:00"/>
    <n v="180"/>
    <x v="0"/>
  </r>
  <r>
    <x v="29"/>
    <s v="Dr. Manohar Pahuja"/>
    <s v="Randhir Fageria"/>
    <n v="2"/>
    <x v="14"/>
    <s v="Pfizer India"/>
    <s v="OXY0225X"/>
    <d v="2027-03-01T00:00:00"/>
    <n v="60"/>
    <x v="0"/>
  </r>
  <r>
    <x v="29"/>
    <s v="Dr. Virender Siwach"/>
    <s v="Mandeep Kumar"/>
    <n v="8"/>
    <x v="15"/>
    <s v="Abbott India"/>
    <s v="ENR0325C"/>
    <d v="2026-05-01T00:00:00"/>
    <n v="320"/>
    <x v="0"/>
  </r>
  <r>
    <x v="29"/>
    <s v="OTC"/>
    <s v="Amar Burdak"/>
    <n v="25"/>
    <x v="16"/>
    <s v="Sun Pharma"/>
    <s v="IVE0325A"/>
    <d v="2026-05-01T00:00:00"/>
    <n v="1250"/>
    <x v="0"/>
  </r>
  <r>
    <x v="29"/>
    <s v="Dr. Ramphal Dhaka"/>
    <s v="Mohit Chaberwal"/>
    <n v="30"/>
    <x v="0"/>
    <s v="Cipla"/>
    <s v="PAR0225A"/>
    <d v="2026-03-01T00:00:00"/>
    <n v="60"/>
    <x v="0"/>
  </r>
  <r>
    <x v="29"/>
    <s v="Dr. Sameer Tuteja"/>
    <s v="Santosh Rani"/>
    <n v="11"/>
    <x v="1"/>
    <s v="Sun Pharma"/>
    <s v="IBU1224B"/>
    <d v="2026-07-01T00:00:00"/>
    <n v="33"/>
    <x v="0"/>
  </r>
  <r>
    <x v="30"/>
    <s v="Dr. Amit Narang"/>
    <s v="Raman Dhaka"/>
    <n v="21"/>
    <x v="2"/>
    <s v="Dr. Reddyâ€™s"/>
    <s v="AMO0425/25"/>
    <d v="2027-02-01T00:00:00"/>
    <n v="168"/>
    <x v="0"/>
  </r>
  <r>
    <x v="30"/>
    <s v="Dr. Renu Bansal"/>
    <s v="Manisha Rani"/>
    <n v="12"/>
    <x v="3"/>
    <s v="Zydus Cadila"/>
    <s v="CET0225C"/>
    <d v="2026-08-01T00:00:00"/>
    <n v="36"/>
    <x v="0"/>
  </r>
  <r>
    <x v="30"/>
    <s v="Dr. Vinay Singla"/>
    <s v="Sanjay Riwar"/>
    <n v="10"/>
    <x v="4"/>
    <s v="Lupin"/>
    <s v="MET0325/25"/>
    <d v="2027-02-01T00:00:00"/>
    <n v="40"/>
    <x v="0"/>
  </r>
  <r>
    <x v="30"/>
    <s v="OTC"/>
    <s v="Mandeep Kumar"/>
    <n v="28"/>
    <x v="5"/>
    <s v="Torrent Pharma"/>
    <s v="AML0325C"/>
    <d v="2026-03-01T00:00:00"/>
    <n v="140"/>
    <x v="0"/>
  </r>
  <r>
    <x v="30"/>
    <s v="Dr. Kamaljeet Sambhyl"/>
    <s v="Sumitra Devi"/>
    <n v="9"/>
    <x v="6"/>
    <s v="Alkem Laboratories"/>
    <s v="ATE0225A"/>
    <d v="2026-03-01T00:00:00"/>
    <n v="54"/>
    <x v="0"/>
  </r>
  <r>
    <x v="30"/>
    <s v="Dr. Manohar Pahuja"/>
    <s v="Radhe Shaym"/>
    <n v="3"/>
    <x v="7"/>
    <s v="Cipla"/>
    <s v="SAL1224/25"/>
    <d v="2026-02-01T00:00:00"/>
    <n v="12"/>
    <x v="0"/>
  </r>
  <r>
    <x v="30"/>
    <s v="OTC"/>
    <s v="Amit Dhaka"/>
    <n v="26"/>
    <x v="8"/>
    <s v="Sun Pharma"/>
    <s v="DOX0225X"/>
    <d v="2027-04-01T00:00:00"/>
    <n v="260"/>
    <x v="0"/>
  </r>
  <r>
    <x v="30"/>
    <s v="Dr. Anshul Sehgal"/>
    <s v="Mohit Chaberwal"/>
    <n v="26"/>
    <x v="9"/>
    <s v="Mankind Pharma"/>
    <s v="PAN0225B"/>
    <d v="2027-02-01T00:00:00"/>
    <n v="130"/>
    <x v="0"/>
  </r>
  <r>
    <x v="31"/>
    <s v="Dr. Kamaljeet Sambhyl"/>
    <s v="Yogesh Khicher"/>
    <n v="27"/>
    <x v="10"/>
    <s v="GSK India"/>
    <s v="CRO0425C"/>
    <d v="2027-08-01T00:00:00"/>
    <n v="54"/>
    <x v="1"/>
  </r>
  <r>
    <x v="31"/>
    <s v="Dr. Amit Narang"/>
    <s v="Pawan Khakhal"/>
    <n v="23"/>
    <x v="11"/>
    <s v="GSK India"/>
    <s v="ENO0425C"/>
    <d v="2027-03-01T00:00:00"/>
    <n v="230"/>
    <x v="1"/>
  </r>
  <r>
    <x v="31"/>
    <s v="Dr. Anshul Sehgal"/>
    <s v="Brijlalal Dhaka"/>
    <n v="27"/>
    <x v="12"/>
    <s v="Sanofi India"/>
    <s v="BET0325C"/>
    <d v="2027-03-01T00:00:00"/>
    <n v="3240"/>
    <x v="1"/>
  </r>
  <r>
    <x v="31"/>
    <s v="Dr. Ramphal Dhaka"/>
    <s v="Mohit Chaberwal"/>
    <n v="9"/>
    <x v="13"/>
    <s v="Mankind Pharma"/>
    <s v="ALB0225A"/>
    <d v="2027-11-01T00:00:00"/>
    <n v="180"/>
    <x v="1"/>
  </r>
  <r>
    <x v="31"/>
    <s v="OTC"/>
    <s v="Sube Ram"/>
    <n v="13"/>
    <x v="14"/>
    <s v="Pfizer India"/>
    <s v="OXY0325B"/>
    <d v="2026-04-01T00:00:00"/>
    <n v="390"/>
    <x v="1"/>
  </r>
  <r>
    <x v="31"/>
    <s v="Dr. Renu Bansal"/>
    <s v="Amit Dhaka"/>
    <n v="7"/>
    <x v="15"/>
    <s v="Abbott India"/>
    <s v="ENR0325/25"/>
    <d v="2027-10-01T00:00:00"/>
    <n v="280"/>
    <x v="1"/>
  </r>
  <r>
    <x v="31"/>
    <s v="Dr. Virender Siwach"/>
    <s v="Randhir Fageria"/>
    <n v="24"/>
    <x v="16"/>
    <s v="Sun Pharma"/>
    <s v="IVE0325B"/>
    <d v="2027-12-01T00:00:00"/>
    <n v="1200"/>
    <x v="1"/>
  </r>
  <r>
    <x v="31"/>
    <s v="Dr. Geeta Choudhary"/>
    <s v="Sita Ram"/>
    <n v="16"/>
    <x v="0"/>
    <s v="Cipla"/>
    <s v="PAR0325B"/>
    <d v="2027-12-01T00:00:00"/>
    <n v="32"/>
    <x v="1"/>
  </r>
  <r>
    <x v="32"/>
    <s v="Dr. Rajesh Batra"/>
    <s v="Pawan Khakhal"/>
    <n v="23"/>
    <x v="1"/>
    <s v="Sun Pharma"/>
    <s v="IBU0225/25"/>
    <d v="2027-07-01T00:00:00"/>
    <n v="69"/>
    <x v="1"/>
  </r>
  <r>
    <x v="32"/>
    <s v="Dr. Virender Siwach"/>
    <s v="Amit Dhaka"/>
    <n v="20"/>
    <x v="2"/>
    <s v="Dr. Reddyâ€™s"/>
    <s v="AMO0225B"/>
    <d v="2026-03-01T00:00:00"/>
    <n v="160"/>
    <x v="1"/>
  </r>
  <r>
    <x v="32"/>
    <s v="Dr. Manohar Pahuja"/>
    <s v="Naseeb Khakhal"/>
    <n v="12"/>
    <x v="3"/>
    <s v="Zydus Cadila"/>
    <s v="CET0125C"/>
    <d v="2027-10-01T00:00:00"/>
    <n v="36"/>
    <x v="1"/>
  </r>
  <r>
    <x v="32"/>
    <s v="Dr. Ramphal Dhaka"/>
    <s v="Krishan Singh"/>
    <n v="24"/>
    <x v="4"/>
    <s v="Lupin"/>
    <s v="MET0225B"/>
    <d v="2026-06-01T00:00:00"/>
    <n v="96"/>
    <x v="1"/>
  </r>
  <r>
    <x v="32"/>
    <s v="OTC"/>
    <s v="Baljinder Singh"/>
    <n v="6"/>
    <x v="5"/>
    <s v="Torrent Pharma"/>
    <s v="AML0225/25"/>
    <d v="2027-07-01T00:00:00"/>
    <n v="30"/>
    <x v="1"/>
  </r>
  <r>
    <x v="32"/>
    <s v="Dr. Sameer Tuteja"/>
    <s v="Ankit Bhadu"/>
    <n v="26"/>
    <x v="6"/>
    <s v="Alkem Laboratories"/>
    <s v="ATE0325B"/>
    <d v="2027-07-01T00:00:00"/>
    <n v="156"/>
    <x v="1"/>
  </r>
  <r>
    <x v="32"/>
    <s v="OTC"/>
    <s v="Mohit Chaberwal"/>
    <n v="13"/>
    <x v="7"/>
    <s v="Cipla"/>
    <s v="SAL1224X"/>
    <d v="2027-01-01T00:00:00"/>
    <n v="52"/>
    <x v="1"/>
  </r>
  <r>
    <x v="32"/>
    <s v="Dr. Virender Siwach"/>
    <s v="Chander Bhan"/>
    <n v="28"/>
    <x v="8"/>
    <s v="Sun Pharma"/>
    <s v="DOX0325A"/>
    <d v="2026-03-01T00:00:00"/>
    <n v="280"/>
    <x v="1"/>
  </r>
  <r>
    <x v="33"/>
    <s v="OTC"/>
    <s v="Tamanna Dhaka"/>
    <n v="28"/>
    <x v="9"/>
    <s v="Mankind Pharma"/>
    <s v="PAN0225C"/>
    <d v="2028-01-01T00:00:00"/>
    <n v="140"/>
    <x v="1"/>
  </r>
  <r>
    <x v="33"/>
    <s v="Dr. Virender Siwach"/>
    <s v="Balbir Fageria"/>
    <n v="30"/>
    <x v="10"/>
    <s v="GSK India"/>
    <s v="CRO0225B"/>
    <d v="2027-08-01T00:00:00"/>
    <n v="60"/>
    <x v="1"/>
  </r>
  <r>
    <x v="33"/>
    <s v="OTC"/>
    <s v="Manisha Rani"/>
    <n v="19"/>
    <x v="11"/>
    <s v="GSK India"/>
    <s v="ENO0325B"/>
    <d v="2026-04-01T00:00:00"/>
    <n v="190"/>
    <x v="1"/>
  </r>
  <r>
    <x v="33"/>
    <s v="Dr. Kamaljeet Sambhyl"/>
    <s v="Yogesh Khicher"/>
    <n v="28"/>
    <x v="12"/>
    <s v="Sanofi India"/>
    <s v="BET0425/25"/>
    <d v="2026-10-01T00:00:00"/>
    <n v="3360"/>
    <x v="1"/>
  </r>
  <r>
    <x v="33"/>
    <s v="Dr. HC Dahiya"/>
    <s v="Sube Ram"/>
    <n v="8"/>
    <x v="13"/>
    <s v="Mankind Pharma"/>
    <s v="ALB0425/25"/>
    <d v="2026-09-01T00:00:00"/>
    <n v="160"/>
    <x v="1"/>
  </r>
  <r>
    <x v="33"/>
    <s v="Dr. Satbir Khumber"/>
    <s v="Sahil Chundwal"/>
    <n v="27"/>
    <x v="14"/>
    <s v="Pfizer India"/>
    <s v="OXY1224/25"/>
    <d v="2026-01-01T00:00:00"/>
    <n v="810"/>
    <x v="1"/>
  </r>
  <r>
    <x v="33"/>
    <s v="Dr. Satbir Khumber"/>
    <s v="Krishan Singh"/>
    <n v="28"/>
    <x v="15"/>
    <s v="Abbott India"/>
    <s v="ENR0125A"/>
    <d v="2027-09-01T00:00:00"/>
    <n v="1120"/>
    <x v="1"/>
  </r>
  <r>
    <x v="33"/>
    <s v="Dr. Geeta Choudhary"/>
    <s v="Randhir Fageria"/>
    <n v="22"/>
    <x v="16"/>
    <s v="Sun Pharma"/>
    <s v="IVE0125C"/>
    <d v="2026-01-01T00:00:00"/>
    <n v="1100"/>
    <x v="1"/>
  </r>
  <r>
    <x v="34"/>
    <s v="OTC"/>
    <s v="Sumitra Devi"/>
    <n v="17"/>
    <x v="0"/>
    <s v="Cipla"/>
    <s v="PAR0325/25"/>
    <d v="2028-02-01T00:00:00"/>
    <n v="34"/>
    <x v="1"/>
  </r>
  <r>
    <x v="34"/>
    <s v="Dr. Satbir Khumber"/>
    <s v="Santosh Rani"/>
    <n v="3"/>
    <x v="1"/>
    <s v="Sun Pharma"/>
    <s v="IBU0225A"/>
    <d v="2027-01-01T00:00:00"/>
    <n v="9"/>
    <x v="1"/>
  </r>
  <r>
    <x v="34"/>
    <s v="OTC"/>
    <s v="Sube Ram"/>
    <n v="26"/>
    <x v="2"/>
    <s v="Dr. Reddyâ€™s"/>
    <s v="AMO0325/25"/>
    <d v="2027-11-01T00:00:00"/>
    <n v="208"/>
    <x v="1"/>
  </r>
  <r>
    <x v="34"/>
    <s v="Dr. Sameer Tuteja"/>
    <s v="Yogesh Khicher"/>
    <n v="9"/>
    <x v="3"/>
    <s v="Zydus Cadila"/>
    <s v="CET0325C"/>
    <d v="2027-08-01T00:00:00"/>
    <n v="27"/>
    <x v="1"/>
  </r>
  <r>
    <x v="34"/>
    <s v="Dr. Manohar Pahuja"/>
    <s v="Shyam Sunder"/>
    <n v="24"/>
    <x v="4"/>
    <s v="Lupin"/>
    <s v="MET0325/25"/>
    <d v="2027-10-01T00:00:00"/>
    <n v="96"/>
    <x v="1"/>
  </r>
  <r>
    <x v="34"/>
    <s v="Dr. Virender Siwach"/>
    <s v="Sumit Kumar"/>
    <n v="26"/>
    <x v="5"/>
    <s v="Torrent Pharma"/>
    <s v="AML0425A"/>
    <d v="2028-03-01T00:00:00"/>
    <n v="130"/>
    <x v="1"/>
  </r>
  <r>
    <x v="34"/>
    <s v="Dr. Sameer Tuteja"/>
    <s v="Raman Dhaka"/>
    <n v="12"/>
    <x v="6"/>
    <s v="Alkem Laboratories"/>
    <s v="ATE0425X"/>
    <d v="2027-10-01T00:00:00"/>
    <n v="72"/>
    <x v="1"/>
  </r>
  <r>
    <x v="34"/>
    <s v="Dr. Sameer Tuteja"/>
    <s v="Kuldeep Singh"/>
    <n v="22"/>
    <x v="7"/>
    <s v="Cipla"/>
    <s v="SAL0125X"/>
    <d v="2027-11-01T00:00:00"/>
    <n v="88"/>
    <x v="1"/>
  </r>
  <r>
    <x v="35"/>
    <s v="Dr. Satbir Khumber"/>
    <s v="Dinesh Sharma"/>
    <n v="25"/>
    <x v="8"/>
    <s v="Sun Pharma"/>
    <s v="DOX0225C"/>
    <d v="2026-09-01T00:00:00"/>
    <n v="250"/>
    <x v="1"/>
  </r>
  <r>
    <x v="35"/>
    <s v="OTC"/>
    <s v="Sube Ram"/>
    <n v="17"/>
    <x v="9"/>
    <s v="Mankind Pharma"/>
    <s v="PAN0325B"/>
    <d v="2027-02-01T00:00:00"/>
    <n v="85"/>
    <x v="1"/>
  </r>
  <r>
    <x v="35"/>
    <s v="Dr. Vinay Singla"/>
    <s v="Sumit Kumar"/>
    <n v="29"/>
    <x v="10"/>
    <s v="GSK India"/>
    <s v="CRO0125C"/>
    <d v="2027-07-01T00:00:00"/>
    <n v="58"/>
    <x v="1"/>
  </r>
  <r>
    <x v="35"/>
    <s v="Dr. Renu Bansal"/>
    <s v="Manisha Rani"/>
    <n v="27"/>
    <x v="11"/>
    <s v="GSK India"/>
    <s v="ENO0425/25"/>
    <d v="2026-09-01T00:00:00"/>
    <n v="270"/>
    <x v="1"/>
  </r>
  <r>
    <x v="35"/>
    <s v="Dr. Geeta Choudhary"/>
    <s v="Balbir Fageria"/>
    <n v="11"/>
    <x v="12"/>
    <s v="Sanofi India"/>
    <s v="BET0225X"/>
    <d v="2026-08-01T00:00:00"/>
    <n v="1320"/>
    <x v="1"/>
  </r>
  <r>
    <x v="35"/>
    <s v="Dr. Vinay Singla"/>
    <s v="Raman Dhaka"/>
    <n v="27"/>
    <x v="13"/>
    <s v="Mankind Pharma"/>
    <s v="ALB0125/25"/>
    <d v="2027-09-01T00:00:00"/>
    <n v="540"/>
    <x v="1"/>
  </r>
  <r>
    <x v="35"/>
    <s v="Dr. Sameer Tuteja"/>
    <s v="Chander Bhan"/>
    <n v="2"/>
    <x v="14"/>
    <s v="Pfizer India"/>
    <s v="OXY1224A"/>
    <d v="2026-04-01T00:00:00"/>
    <n v="60"/>
    <x v="1"/>
  </r>
  <r>
    <x v="35"/>
    <s v="Dr. Manohar Pahuja"/>
    <s v="Baljinder Singh"/>
    <n v="28"/>
    <x v="15"/>
    <s v="Abbott India"/>
    <s v="ENR0225B"/>
    <d v="2028-01-01T00:00:00"/>
    <n v="1120"/>
    <x v="1"/>
  </r>
  <r>
    <x v="36"/>
    <s v="Dr. Sameer Tuteja"/>
    <s v="Chander Bhan"/>
    <n v="30"/>
    <x v="16"/>
    <s v="Sun Pharma"/>
    <s v="IVE0325/25"/>
    <d v="2026-08-01T00:00:00"/>
    <n v="1500"/>
    <x v="1"/>
  </r>
  <r>
    <x v="36"/>
    <s v="Dr. Virender Siwach"/>
    <s v="Naresh Didharia"/>
    <n v="16"/>
    <x v="0"/>
    <s v="Cipla"/>
    <s v="PAR0425X"/>
    <d v="2027-05-01T00:00:00"/>
    <n v="32"/>
    <x v="1"/>
  </r>
  <r>
    <x v="36"/>
    <s v="Dr. Kamaljeet Sambhyl"/>
    <s v="Manisha Rani"/>
    <n v="27"/>
    <x v="1"/>
    <s v="Sun Pharma"/>
    <s v="IBU0125/25"/>
    <d v="2027-05-01T00:00:00"/>
    <n v="81"/>
    <x v="1"/>
  </r>
  <r>
    <x v="36"/>
    <s v="Dr. Geeta Choudhary"/>
    <s v="Sumitra Devi"/>
    <n v="14"/>
    <x v="2"/>
    <s v="Dr. Reddyâ€™s"/>
    <s v="AMO0325C"/>
    <d v="2027-03-01T00:00:00"/>
    <n v="112"/>
    <x v="1"/>
  </r>
  <r>
    <x v="36"/>
    <s v="Dr. Rajesh Batra"/>
    <s v="Ram Kumar"/>
    <n v="30"/>
    <x v="3"/>
    <s v="Zydus Cadila"/>
    <s v="CET1224/25"/>
    <d v="2026-04-01T00:00:00"/>
    <n v="90"/>
    <x v="1"/>
  </r>
  <r>
    <x v="36"/>
    <s v="Dr. Satbir Khumber"/>
    <s v="Dinesh Sharma"/>
    <n v="12"/>
    <x v="4"/>
    <s v="Lupin"/>
    <s v="MET1224C"/>
    <d v="2026-12-01T00:00:00"/>
    <n v="48"/>
    <x v="1"/>
  </r>
  <r>
    <x v="36"/>
    <s v="OTC"/>
    <s v="Sahil Chundwal"/>
    <n v="25"/>
    <x v="5"/>
    <s v="Torrent Pharma"/>
    <s v="AML0325B"/>
    <d v="2028-01-01T00:00:00"/>
    <n v="125"/>
    <x v="1"/>
  </r>
  <r>
    <x v="36"/>
    <s v="Dr. Renu Bansal"/>
    <s v="Brijlalal Dhaka"/>
    <n v="7"/>
    <x v="6"/>
    <s v="Alkem Laboratories"/>
    <s v="ATE1224B"/>
    <d v="2027-03-01T00:00:00"/>
    <n v="42"/>
    <x v="1"/>
  </r>
  <r>
    <x v="37"/>
    <s v="Dr. Anshul Sehgal"/>
    <s v="Sita Ram"/>
    <n v="13"/>
    <x v="7"/>
    <s v="Cipla"/>
    <s v="SAL0225C"/>
    <d v="2026-02-01T00:00:00"/>
    <n v="52"/>
    <x v="1"/>
  </r>
  <r>
    <x v="37"/>
    <s v="Dr. Virender Siwach"/>
    <s v="Mandeep Kumar"/>
    <n v="24"/>
    <x v="8"/>
    <s v="Sun Pharma"/>
    <s v="DOX0225X"/>
    <d v="2026-04-01T00:00:00"/>
    <n v="240"/>
    <x v="1"/>
  </r>
  <r>
    <x v="37"/>
    <s v="OTC"/>
    <s v="Amar Burdak"/>
    <n v="4"/>
    <x v="9"/>
    <s v="Mankind Pharma"/>
    <s v="PAN0225A"/>
    <d v="2027-04-01T00:00:00"/>
    <n v="20"/>
    <x v="1"/>
  </r>
  <r>
    <x v="37"/>
    <s v="Dr. Amit Narang"/>
    <s v="Shyam Sunder"/>
    <n v="11"/>
    <x v="10"/>
    <s v="GSK India"/>
    <s v="CRO0425C"/>
    <d v="2026-11-01T00:00:00"/>
    <n v="22"/>
    <x v="1"/>
  </r>
  <r>
    <x v="37"/>
    <s v="Dr. Satbir Khumber"/>
    <s v="Balbir Fageria"/>
    <n v="30"/>
    <x v="11"/>
    <s v="GSK India"/>
    <s v="ENO0325A"/>
    <d v="2026-06-01T00:00:00"/>
    <n v="300"/>
    <x v="1"/>
  </r>
  <r>
    <x v="37"/>
    <s v="OTC"/>
    <s v="Amar Burdak"/>
    <n v="5"/>
    <x v="12"/>
    <s v="Sanofi India"/>
    <s v="BET1224B"/>
    <d v="2026-05-01T00:00:00"/>
    <n v="600"/>
    <x v="1"/>
  </r>
  <r>
    <x v="37"/>
    <s v="Dr. Kamaljeet Sambhyl"/>
    <s v="Mohit Chaberwal"/>
    <n v="4"/>
    <x v="13"/>
    <s v="Mankind Pharma"/>
    <s v="ALB1224/25"/>
    <d v="2027-03-01T00:00:00"/>
    <n v="80"/>
    <x v="1"/>
  </r>
  <r>
    <x v="37"/>
    <s v="Dr. Satbir Khumber"/>
    <s v="Dinesh Sharma"/>
    <n v="14"/>
    <x v="14"/>
    <s v="Pfizer India"/>
    <s v="OXY0325B"/>
    <d v="2027-05-01T00:00:00"/>
    <n v="420"/>
    <x v="1"/>
  </r>
  <r>
    <x v="38"/>
    <s v="Dr. Satbir Khumber"/>
    <s v="Santosh Rani"/>
    <n v="8"/>
    <x v="15"/>
    <s v="Abbott India"/>
    <s v="ENR1224C"/>
    <d v="2026-06-01T00:00:00"/>
    <n v="320"/>
    <x v="1"/>
  </r>
  <r>
    <x v="38"/>
    <s v="OTC"/>
    <s v="Mandeep Kumar"/>
    <n v="19"/>
    <x v="16"/>
    <s v="Sun Pharma"/>
    <s v="IVE0125A"/>
    <d v="2026-08-01T00:00:00"/>
    <n v="950"/>
    <x v="1"/>
  </r>
  <r>
    <x v="38"/>
    <s v="OTC"/>
    <s v="Sanjay Riwar"/>
    <n v="8"/>
    <x v="0"/>
    <s v="Cipla"/>
    <s v="PAR0325/25"/>
    <d v="2027-04-01T00:00:00"/>
    <n v="16"/>
    <x v="1"/>
  </r>
  <r>
    <x v="38"/>
    <s v="Dr. Ramphal Dhaka"/>
    <s v="Dinesh Sharma"/>
    <n v="10"/>
    <x v="1"/>
    <s v="Sun Pharma"/>
    <s v="IBU0225/25"/>
    <d v="2026-07-01T00:00:00"/>
    <n v="30"/>
    <x v="1"/>
  </r>
  <r>
    <x v="38"/>
    <s v="OTC"/>
    <s v="Ramkla Devi"/>
    <n v="19"/>
    <x v="2"/>
    <s v="Dr. Reddyâ€™s"/>
    <s v="AMO1224B"/>
    <d v="2026-06-01T00:00:00"/>
    <n v="152"/>
    <x v="1"/>
  </r>
  <r>
    <x v="38"/>
    <s v="OTC"/>
    <s v="Sahil Chundwal"/>
    <n v="23"/>
    <x v="3"/>
    <s v="Zydus Cadila"/>
    <s v="CET0225A"/>
    <d v="2027-12-01T00:00:00"/>
    <n v="69"/>
    <x v="1"/>
  </r>
  <r>
    <x v="38"/>
    <s v="Dr. Sameer Tuteja"/>
    <s v="Pawan Khakhal"/>
    <n v="11"/>
    <x v="4"/>
    <s v="Lupin"/>
    <s v="MET0125C"/>
    <d v="2026-01-01T00:00:00"/>
    <n v="44"/>
    <x v="1"/>
  </r>
  <r>
    <x v="38"/>
    <s v="Dr. Ramphal Dhaka"/>
    <s v="Dinesh Sharma"/>
    <n v="18"/>
    <x v="5"/>
    <s v="Torrent Pharma"/>
    <s v="AML1224X"/>
    <d v="2027-11-01T00:00:00"/>
    <n v="90"/>
    <x v="1"/>
  </r>
  <r>
    <x v="39"/>
    <s v="Dr. Geeta Choudhary"/>
    <s v="Mandeep Kumar"/>
    <n v="4"/>
    <x v="6"/>
    <s v="Alkem Laboratories"/>
    <s v="ATE0225/25"/>
    <d v="2028-01-01T00:00:00"/>
    <n v="24"/>
    <x v="1"/>
  </r>
  <r>
    <x v="39"/>
    <s v="Dr. Renu Bansal"/>
    <s v="Manisha Rani"/>
    <n v="11"/>
    <x v="7"/>
    <s v="Cipla"/>
    <s v="SAL0425A"/>
    <d v="2026-04-01T00:00:00"/>
    <n v="44"/>
    <x v="1"/>
  </r>
  <r>
    <x v="39"/>
    <s v="OTC"/>
    <s v="Amit Dhaka"/>
    <n v="24"/>
    <x v="8"/>
    <s v="Sun Pharma"/>
    <s v="DOX0425B"/>
    <d v="2026-11-01T00:00:00"/>
    <n v="240"/>
    <x v="1"/>
  </r>
  <r>
    <x v="39"/>
    <s v="Dr. HC Dahiya"/>
    <s v="Chander Bhan"/>
    <n v="2"/>
    <x v="9"/>
    <s v="Mankind Pharma"/>
    <s v="PAN0425B"/>
    <d v="2026-05-01T00:00:00"/>
    <n v="10"/>
    <x v="1"/>
  </r>
  <r>
    <x v="39"/>
    <s v="OTC"/>
    <s v="Umesh Kumar"/>
    <n v="28"/>
    <x v="10"/>
    <s v="GSK India"/>
    <s v="CRO0225B"/>
    <d v="2026-09-01T00:00:00"/>
    <n v="56"/>
    <x v="1"/>
  </r>
  <r>
    <x v="39"/>
    <s v="Dr. HC Dahiya"/>
    <s v="Sanjay Riwar"/>
    <n v="15"/>
    <x v="11"/>
    <s v="GSK India"/>
    <s v="ENO0325B"/>
    <d v="2026-05-01T00:00:00"/>
    <n v="150"/>
    <x v="1"/>
  </r>
  <r>
    <x v="39"/>
    <s v="OTC"/>
    <s v="Naseeb Khakhal"/>
    <n v="26"/>
    <x v="12"/>
    <s v="Sanofi India"/>
    <s v="BET0325A"/>
    <d v="2026-08-01T00:00:00"/>
    <n v="3120"/>
    <x v="1"/>
  </r>
  <r>
    <x v="39"/>
    <s v="OTC"/>
    <s v="Naseeb Khakhal"/>
    <n v="11"/>
    <x v="13"/>
    <s v="Mankind Pharma"/>
    <s v="ALB0425/25"/>
    <d v="2027-06-01T00:00:00"/>
    <n v="220"/>
    <x v="1"/>
  </r>
  <r>
    <x v="40"/>
    <s v="Dr. HC Dahiya"/>
    <s v="Randhir Fageria"/>
    <n v="28"/>
    <x v="14"/>
    <s v="Pfizer India"/>
    <s v="OXY0125B"/>
    <d v="2027-05-01T00:00:00"/>
    <n v="840"/>
    <x v="1"/>
  </r>
  <r>
    <x v="40"/>
    <s v="Dr. Vinay Singla"/>
    <s v="Baljinder Singh"/>
    <n v="10"/>
    <x v="15"/>
    <s v="Abbott India"/>
    <s v="ENR0125B"/>
    <d v="2026-07-01T00:00:00"/>
    <n v="400"/>
    <x v="1"/>
  </r>
  <r>
    <x v="40"/>
    <s v="Dr. Vinay Singla"/>
    <s v="Ankit Bhadu"/>
    <n v="25"/>
    <x v="16"/>
    <s v="Sun Pharma"/>
    <s v="IVE0425X"/>
    <d v="2026-08-01T00:00:00"/>
    <n v="1250"/>
    <x v="1"/>
  </r>
  <r>
    <x v="40"/>
    <s v="Dr. HC Dahiya"/>
    <s v="Pawan Khakhal"/>
    <n v="5"/>
    <x v="0"/>
    <s v="Cipla"/>
    <s v="PAR0125X"/>
    <d v="2027-02-01T00:00:00"/>
    <n v="10"/>
    <x v="1"/>
  </r>
  <r>
    <x v="40"/>
    <s v="Dr. Geeta Choudhary"/>
    <s v="Sahil Chundwal"/>
    <n v="14"/>
    <x v="1"/>
    <s v="Sun Pharma"/>
    <s v="IBU1224B"/>
    <d v="2027-03-01T00:00:00"/>
    <n v="42"/>
    <x v="1"/>
  </r>
  <r>
    <x v="40"/>
    <s v="OTC"/>
    <s v="Sanjay Riwar"/>
    <n v="25"/>
    <x v="2"/>
    <s v="Dr. Reddyâ€™s"/>
    <s v="AMO0425/25"/>
    <d v="2026-10-01T00:00:00"/>
    <n v="200"/>
    <x v="1"/>
  </r>
  <r>
    <x v="40"/>
    <s v="Dr. Satbir Khumber"/>
    <s v="Raman Dhaka"/>
    <n v="23"/>
    <x v="3"/>
    <s v="Zydus Cadila"/>
    <s v="CET0225B"/>
    <d v="2027-01-01T00:00:00"/>
    <n v="69"/>
    <x v="1"/>
  </r>
  <r>
    <x v="40"/>
    <s v="Dr. Manohar Pahuja"/>
    <s v="Sube Ram"/>
    <n v="26"/>
    <x v="4"/>
    <s v="Lupin"/>
    <s v="MET0325X"/>
    <d v="2027-12-01T00:00:00"/>
    <n v="104"/>
    <x v="1"/>
  </r>
  <r>
    <x v="41"/>
    <s v="Dr. Ramphal Dhaka"/>
    <s v="Randhir Fageria"/>
    <n v="30"/>
    <x v="5"/>
    <s v="Torrent Pharma"/>
    <s v="AML0225/25"/>
    <d v="2027-07-01T00:00:00"/>
    <n v="150"/>
    <x v="1"/>
  </r>
  <r>
    <x v="41"/>
    <s v="OTC"/>
    <s v="Santosh Rani"/>
    <n v="13"/>
    <x v="6"/>
    <s v="Alkem Laboratories"/>
    <s v="ATE0225B"/>
    <d v="2027-11-01T00:00:00"/>
    <n v="78"/>
    <x v="1"/>
  </r>
  <r>
    <x v="41"/>
    <s v="Dr. Kamaljeet Sambhyl"/>
    <s v="Sahil Chundwal"/>
    <n v="21"/>
    <x v="7"/>
    <s v="Cipla"/>
    <s v="SAL0425B"/>
    <d v="2026-11-01T00:00:00"/>
    <n v="84"/>
    <x v="1"/>
  </r>
  <r>
    <x v="41"/>
    <s v="Dr. Satbir Khumber"/>
    <s v="Radhe Shaym"/>
    <n v="22"/>
    <x v="8"/>
    <s v="Sun Pharma"/>
    <s v="DOX0125C"/>
    <d v="2026-06-01T00:00:00"/>
    <n v="220"/>
    <x v="1"/>
  </r>
  <r>
    <x v="41"/>
    <s v="Dr. Virender Siwach"/>
    <s v="Dinesh Sharma"/>
    <n v="6"/>
    <x v="9"/>
    <s v="Mankind Pharma"/>
    <s v="PAN0425/25"/>
    <d v="2027-09-01T00:00:00"/>
    <n v="30"/>
    <x v="1"/>
  </r>
  <r>
    <x v="41"/>
    <s v="OTC"/>
    <s v="Sanjay Riwar"/>
    <n v="5"/>
    <x v="10"/>
    <s v="GSK India"/>
    <s v="CRO0425A"/>
    <d v="2026-09-01T00:00:00"/>
    <n v="10"/>
    <x v="1"/>
  </r>
  <r>
    <x v="41"/>
    <s v="Dr. Amit Narang"/>
    <s v="Sita Ram"/>
    <n v="29"/>
    <x v="11"/>
    <s v="GSK India"/>
    <s v="ENO0425/25"/>
    <d v="2027-07-01T00:00:00"/>
    <n v="290"/>
    <x v="1"/>
  </r>
  <r>
    <x v="41"/>
    <s v="Dr. Manohar Pahuja"/>
    <s v="Yogesh Khicher"/>
    <n v="27"/>
    <x v="12"/>
    <s v="Sanofi India"/>
    <s v="BET1224C"/>
    <d v="2027-11-01T00:00:00"/>
    <n v="3240"/>
    <x v="1"/>
  </r>
  <r>
    <x v="42"/>
    <s v="Dr. Geeta Choudhary"/>
    <s v="Sita Ram"/>
    <n v="13"/>
    <x v="13"/>
    <s v="Mankind Pharma"/>
    <s v="ALB0225/25"/>
    <d v="2027-12-01T00:00:00"/>
    <n v="260"/>
    <x v="1"/>
  </r>
  <r>
    <x v="42"/>
    <s v="OTC"/>
    <s v="Naseeb Khakhal"/>
    <n v="7"/>
    <x v="14"/>
    <s v="Pfizer India"/>
    <s v="OXY0325C"/>
    <d v="2027-05-01T00:00:00"/>
    <n v="210"/>
    <x v="1"/>
  </r>
  <r>
    <x v="42"/>
    <s v="Dr. Geeta Choudhary"/>
    <s v="Kuldeep Singh"/>
    <n v="12"/>
    <x v="15"/>
    <s v="Abbott India"/>
    <s v="ENR0225/25"/>
    <d v="2026-07-01T00:00:00"/>
    <n v="480"/>
    <x v="1"/>
  </r>
  <r>
    <x v="42"/>
    <s v="Dr. Virender Siwach"/>
    <s v="Naseeb Khakhal"/>
    <n v="23"/>
    <x v="16"/>
    <s v="Sun Pharma"/>
    <s v="IVE0325C"/>
    <d v="2026-07-01T00:00:00"/>
    <n v="1150"/>
    <x v="1"/>
  </r>
  <r>
    <x v="42"/>
    <s v="Dr. Virender Siwach"/>
    <s v="Shishpal Sharma"/>
    <n v="26"/>
    <x v="0"/>
    <s v="Cipla"/>
    <s v="PAR0425X"/>
    <d v="2026-04-01T00:00:00"/>
    <n v="52"/>
    <x v="1"/>
  </r>
  <r>
    <x v="42"/>
    <s v="Dr. Sameer Tuteja"/>
    <s v="Chander Bhan"/>
    <n v="13"/>
    <x v="1"/>
    <s v="Sun Pharma"/>
    <s v="IBU1224B"/>
    <d v="2027-06-01T00:00:00"/>
    <n v="39"/>
    <x v="1"/>
  </r>
  <r>
    <x v="42"/>
    <s v="OTC"/>
    <s v="Sahil Chundwal"/>
    <n v="10"/>
    <x v="2"/>
    <s v="Dr. Reddyâ€™s"/>
    <s v="AMO0325A"/>
    <d v="2027-12-01T00:00:00"/>
    <n v="80"/>
    <x v="1"/>
  </r>
  <r>
    <x v="42"/>
    <s v="Dr. Geeta Choudhary"/>
    <s v="Chander Bhan"/>
    <n v="15"/>
    <x v="3"/>
    <s v="Zydus Cadila"/>
    <s v="CET0325C"/>
    <d v="2027-12-01T00:00:00"/>
    <n v="45"/>
    <x v="1"/>
  </r>
  <r>
    <x v="43"/>
    <s v="Dr. Satbir Khumber"/>
    <s v="Sumit Kumar"/>
    <n v="11"/>
    <x v="4"/>
    <s v="Lupin"/>
    <s v="MET0125X"/>
    <d v="2026-04-01T00:00:00"/>
    <n v="44"/>
    <x v="1"/>
  </r>
  <r>
    <x v="43"/>
    <s v="Dr. Ramphal Dhaka"/>
    <s v="Brijlalal Dhaka"/>
    <n v="13"/>
    <x v="5"/>
    <s v="Torrent Pharma"/>
    <s v="AML0425C"/>
    <d v="2026-08-01T00:00:00"/>
    <n v="65"/>
    <x v="1"/>
  </r>
  <r>
    <x v="43"/>
    <s v="Dr. Renu Bansal"/>
    <s v="Sube Ram"/>
    <n v="1"/>
    <x v="6"/>
    <s v="Alkem Laboratories"/>
    <s v="ATE0425C"/>
    <d v="2026-08-01T00:00:00"/>
    <n v="6"/>
    <x v="1"/>
  </r>
  <r>
    <x v="43"/>
    <s v="Dr. Vinay Singla"/>
    <s v="Ankit Bhadu"/>
    <n v="3"/>
    <x v="7"/>
    <s v="Cipla"/>
    <s v="SAL0225C"/>
    <d v="2026-12-01T00:00:00"/>
    <n v="12"/>
    <x v="1"/>
  </r>
  <r>
    <x v="43"/>
    <s v="Dr. Sameer Tuteja"/>
    <s v="Shishpal Sharma"/>
    <n v="29"/>
    <x v="8"/>
    <s v="Sun Pharma"/>
    <s v="DOX1224C"/>
    <d v="2027-05-01T00:00:00"/>
    <n v="290"/>
    <x v="1"/>
  </r>
  <r>
    <x v="43"/>
    <s v="OTC"/>
    <s v="Radhe Shaym"/>
    <n v="29"/>
    <x v="9"/>
    <s v="Mankind Pharma"/>
    <s v="PAN0325C"/>
    <d v="2026-05-01T00:00:00"/>
    <n v="145"/>
    <x v="1"/>
  </r>
  <r>
    <x v="43"/>
    <s v="Dr. Anshul Sehgal"/>
    <s v="Amar Burdak"/>
    <n v="30"/>
    <x v="10"/>
    <s v="GSK India"/>
    <s v="CRO0425X"/>
    <d v="2026-11-01T00:00:00"/>
    <n v="60"/>
    <x v="1"/>
  </r>
  <r>
    <x v="43"/>
    <s v="Dr. Vinay Singla"/>
    <s v="Sita Ram"/>
    <n v="26"/>
    <x v="11"/>
    <s v="GSK India"/>
    <s v="ENO0225X"/>
    <d v="2027-12-01T00:00:00"/>
    <n v="260"/>
    <x v="1"/>
  </r>
  <r>
    <x v="44"/>
    <s v="Dr. Rajesh Batra"/>
    <s v="Ramkla Devi"/>
    <n v="8"/>
    <x v="12"/>
    <s v="Sanofi India"/>
    <s v="BET0225A"/>
    <d v="2028-01-01T00:00:00"/>
    <n v="960"/>
    <x v="1"/>
  </r>
  <r>
    <x v="44"/>
    <s v="OTC"/>
    <s v="Sumit Kumar"/>
    <n v="24"/>
    <x v="13"/>
    <s v="Mankind Pharma"/>
    <s v="ALB0325X"/>
    <d v="2026-07-01T00:00:00"/>
    <n v="480"/>
    <x v="1"/>
  </r>
  <r>
    <x v="44"/>
    <s v="OTC"/>
    <s v="Ramkla Devi"/>
    <n v="22"/>
    <x v="14"/>
    <s v="Pfizer India"/>
    <s v="OXY0125B"/>
    <d v="2027-06-01T00:00:00"/>
    <n v="660"/>
    <x v="1"/>
  </r>
  <r>
    <x v="44"/>
    <s v="Dr. Kamaljeet Sambhyl"/>
    <s v="Manisha Rani"/>
    <n v="28"/>
    <x v="15"/>
    <s v="Abbott India"/>
    <s v="ENR0125/25"/>
    <d v="2027-01-01T00:00:00"/>
    <n v="1120"/>
    <x v="1"/>
  </r>
  <r>
    <x v="44"/>
    <s v="Dr. Ramphal Dhaka"/>
    <s v="Sita Ram"/>
    <n v="21"/>
    <x v="16"/>
    <s v="Sun Pharma"/>
    <s v="IVE0325A"/>
    <d v="2026-11-01T00:00:00"/>
    <n v="1050"/>
    <x v="1"/>
  </r>
  <r>
    <x v="44"/>
    <s v="Dr. Virender Siwach"/>
    <s v="Balbir Fageria"/>
    <n v="23"/>
    <x v="0"/>
    <s v="Cipla"/>
    <s v="PAR0225/25"/>
    <d v="2026-07-01T00:00:00"/>
    <n v="46"/>
    <x v="1"/>
  </r>
  <r>
    <x v="44"/>
    <s v="OTC"/>
    <s v="Manisha Rani"/>
    <n v="15"/>
    <x v="1"/>
    <s v="Sun Pharma"/>
    <s v="IBU0125/25"/>
    <d v="2026-08-01T00:00:00"/>
    <n v="45"/>
    <x v="1"/>
  </r>
  <r>
    <x v="44"/>
    <s v="OTC"/>
    <s v="Naseeb Khakhal"/>
    <n v="28"/>
    <x v="2"/>
    <s v="Dr. Reddyâ€™s"/>
    <s v="AMO0325/25"/>
    <d v="2028-01-01T00:00:00"/>
    <n v="224"/>
    <x v="1"/>
  </r>
  <r>
    <x v="45"/>
    <s v="Dr. Virender Siwach"/>
    <s v="Sumitra Devi"/>
    <n v="2"/>
    <x v="3"/>
    <s v="Zydus Cadila"/>
    <s v="CET0425B"/>
    <d v="2027-09-01T00:00:00"/>
    <n v="6"/>
    <x v="1"/>
  </r>
  <r>
    <x v="45"/>
    <s v="Dr. Kamaljeet Sambhyl"/>
    <s v="Raman Dhaka"/>
    <n v="9"/>
    <x v="4"/>
    <s v="Lupin"/>
    <s v="MET0125A"/>
    <d v="2027-08-01T00:00:00"/>
    <n v="36"/>
    <x v="1"/>
  </r>
  <r>
    <x v="45"/>
    <s v="OTC"/>
    <s v="Dinesh Sharma"/>
    <n v="25"/>
    <x v="5"/>
    <s v="Torrent Pharma"/>
    <s v="AML0325A"/>
    <d v="2026-04-01T00:00:00"/>
    <n v="125"/>
    <x v="1"/>
  </r>
  <r>
    <x v="45"/>
    <s v="Dr. Manohar Pahuja"/>
    <s v="Manisha Rani"/>
    <n v="29"/>
    <x v="6"/>
    <s v="Alkem Laboratories"/>
    <s v="ATE0225A"/>
    <d v="2027-11-01T00:00:00"/>
    <n v="174"/>
    <x v="1"/>
  </r>
  <r>
    <x v="45"/>
    <s v="OTC"/>
    <s v="Mohit Chaberwal"/>
    <n v="7"/>
    <x v="7"/>
    <s v="Cipla"/>
    <s v="SAL1224X"/>
    <d v="2026-03-01T00:00:00"/>
    <n v="28"/>
    <x v="1"/>
  </r>
  <r>
    <x v="45"/>
    <s v="OTC"/>
    <s v="Dinesh Sharma"/>
    <n v="19"/>
    <x v="8"/>
    <s v="Sun Pharma"/>
    <s v="DOX0225C"/>
    <d v="2026-10-01T00:00:00"/>
    <n v="190"/>
    <x v="1"/>
  </r>
  <r>
    <x v="45"/>
    <s v="Dr. Kamaljeet Sambhyl"/>
    <s v="Krishan Singh"/>
    <n v="23"/>
    <x v="9"/>
    <s v="Mankind Pharma"/>
    <s v="PAN0425C"/>
    <d v="2027-05-01T00:00:00"/>
    <n v="115"/>
    <x v="1"/>
  </r>
  <r>
    <x v="45"/>
    <s v="Dr. Virender Siwach"/>
    <s v="Baljinder Singh"/>
    <n v="21"/>
    <x v="10"/>
    <s v="GSK India"/>
    <s v="CRO0425/25"/>
    <d v="2027-12-01T00:00:00"/>
    <n v="42"/>
    <x v="1"/>
  </r>
  <r>
    <x v="46"/>
    <s v="Dr. HC Dahiya"/>
    <s v="Krishan Singh"/>
    <n v="29"/>
    <x v="11"/>
    <s v="GSK India"/>
    <s v="ENO0325/25"/>
    <d v="2026-09-01T00:00:00"/>
    <n v="290"/>
    <x v="1"/>
  </r>
  <r>
    <x v="46"/>
    <s v="Dr. Anshul Sehgal"/>
    <s v="Dinesh Sharma"/>
    <n v="23"/>
    <x v="12"/>
    <s v="Sanofi India"/>
    <s v="BET0425B"/>
    <d v="2026-07-01T00:00:00"/>
    <n v="2760"/>
    <x v="1"/>
  </r>
  <r>
    <x v="46"/>
    <s v="Dr. Rajesh Batra"/>
    <s v="Manisha Rani"/>
    <n v="1"/>
    <x v="13"/>
    <s v="Mankind Pharma"/>
    <s v="ALB0225B"/>
    <d v="2027-06-01T00:00:00"/>
    <n v="20"/>
    <x v="1"/>
  </r>
  <r>
    <x v="46"/>
    <s v="Dr. Ramphal Dhaka"/>
    <s v="Amit Dhaka"/>
    <n v="14"/>
    <x v="14"/>
    <s v="Pfizer India"/>
    <s v="OXY0325C"/>
    <d v="2026-12-01T00:00:00"/>
    <n v="420"/>
    <x v="1"/>
  </r>
  <r>
    <x v="46"/>
    <s v="Dr. Kamaljeet Sambhyl"/>
    <s v="Ravi Dhaka"/>
    <n v="3"/>
    <x v="15"/>
    <s v="Abbott India"/>
    <s v="ENR0225A"/>
    <d v="2026-02-01T00:00:00"/>
    <n v="120"/>
    <x v="1"/>
  </r>
  <r>
    <x v="46"/>
    <s v="Dr. Anshul Sehgal"/>
    <s v="Mandeep Kumar"/>
    <n v="27"/>
    <x v="16"/>
    <s v="Sun Pharma"/>
    <s v="IVE0425X"/>
    <d v="2026-08-01T00:00:00"/>
    <n v="1350"/>
    <x v="1"/>
  </r>
  <r>
    <x v="46"/>
    <s v="OTC"/>
    <s v="Hari Singh"/>
    <n v="23"/>
    <x v="0"/>
    <s v="Cipla"/>
    <s v="PAR0425X"/>
    <d v="2027-03-01T00:00:00"/>
    <n v="46"/>
    <x v="1"/>
  </r>
  <r>
    <x v="46"/>
    <s v="Dr. Rajesh Batra"/>
    <s v="Ram Kumar"/>
    <n v="30"/>
    <x v="1"/>
    <s v="Sun Pharma"/>
    <s v="IBU0225B"/>
    <d v="2027-11-01T00:00:00"/>
    <n v="90"/>
    <x v="1"/>
  </r>
  <r>
    <x v="47"/>
    <s v="Dr. Virender Siwach"/>
    <s v="Amar Burdak"/>
    <n v="23"/>
    <x v="2"/>
    <s v="Dr. Reddyâ€™s"/>
    <s v="AMO0225X"/>
    <d v="2026-09-01T00:00:00"/>
    <n v="184"/>
    <x v="1"/>
  </r>
  <r>
    <x v="47"/>
    <s v="Dr. Satbir Khumber"/>
    <s v="Randhir Fageria"/>
    <n v="19"/>
    <x v="3"/>
    <s v="Zydus Cadila"/>
    <s v="CET0225C"/>
    <d v="2026-09-01T00:00:00"/>
    <n v="57"/>
    <x v="1"/>
  </r>
  <r>
    <x v="47"/>
    <s v="OTC"/>
    <s v="Ramkla Devi"/>
    <n v="23"/>
    <x v="4"/>
    <s v="Lupin"/>
    <s v="MET0225X"/>
    <d v="2027-04-01T00:00:00"/>
    <n v="92"/>
    <x v="1"/>
  </r>
  <r>
    <x v="47"/>
    <s v="Dr. Vinay Singla"/>
    <s v="Ram Kumar"/>
    <n v="8"/>
    <x v="5"/>
    <s v="Torrent Pharma"/>
    <s v="AML0225B"/>
    <d v="2027-11-01T00:00:00"/>
    <n v="40"/>
    <x v="1"/>
  </r>
  <r>
    <x v="47"/>
    <s v="OTC"/>
    <s v="Sumitra Devi"/>
    <n v="22"/>
    <x v="6"/>
    <s v="Alkem Laboratories"/>
    <s v="ATE1224X"/>
    <d v="2026-12-01T00:00:00"/>
    <n v="132"/>
    <x v="1"/>
  </r>
  <r>
    <x v="47"/>
    <s v="OTC"/>
    <s v="Tamanna Dhaka"/>
    <n v="19"/>
    <x v="7"/>
    <s v="Cipla"/>
    <s v="SAL0325B"/>
    <d v="2026-12-01T00:00:00"/>
    <n v="76"/>
    <x v="1"/>
  </r>
  <r>
    <x v="47"/>
    <s v="Dr. HC Dahiya"/>
    <s v="Raman Dhaka"/>
    <n v="15"/>
    <x v="8"/>
    <s v="Sun Pharma"/>
    <s v="DOX0325B"/>
    <d v="2026-06-01T00:00:00"/>
    <n v="150"/>
    <x v="1"/>
  </r>
  <r>
    <x v="47"/>
    <s v="Dr. Satbir Khumber"/>
    <s v="Radhe Shaym"/>
    <n v="19"/>
    <x v="9"/>
    <s v="Mankind Pharma"/>
    <s v="PAN0225A"/>
    <d v="2027-02-01T00:00:00"/>
    <n v="95"/>
    <x v="1"/>
  </r>
  <r>
    <x v="48"/>
    <s v="Dr. Kamaljeet Sambhyl"/>
    <s v="Shyam Sunder"/>
    <n v="24"/>
    <x v="10"/>
    <s v="GSK India"/>
    <s v="CRO1224/25"/>
    <d v="2026-08-01T00:00:00"/>
    <n v="48"/>
    <x v="1"/>
  </r>
  <r>
    <x v="48"/>
    <s v="OTC"/>
    <s v="Umesh Kumar"/>
    <n v="15"/>
    <x v="11"/>
    <s v="GSK India"/>
    <s v="ENO0425B"/>
    <d v="2028-02-01T00:00:00"/>
    <n v="150"/>
    <x v="1"/>
  </r>
  <r>
    <x v="48"/>
    <s v="Dr. Vinay Singla"/>
    <s v="Randhir Fageria"/>
    <n v="2"/>
    <x v="12"/>
    <s v="Sanofi India"/>
    <s v="BET0425C"/>
    <d v="2026-07-01T00:00:00"/>
    <n v="240"/>
    <x v="1"/>
  </r>
  <r>
    <x v="48"/>
    <s v="Dr. Ramphal Dhaka"/>
    <s v="Yogesh Khicher"/>
    <n v="1"/>
    <x v="13"/>
    <s v="Mankind Pharma"/>
    <s v="ALB0425B"/>
    <d v="2027-04-01T00:00:00"/>
    <n v="20"/>
    <x v="1"/>
  </r>
  <r>
    <x v="48"/>
    <s v="Dr. Geeta Choudhary"/>
    <s v="Sumit Kumar"/>
    <n v="5"/>
    <x v="14"/>
    <s v="Pfizer India"/>
    <s v="OXY0225B"/>
    <d v="2026-07-01T00:00:00"/>
    <n v="150"/>
    <x v="1"/>
  </r>
  <r>
    <x v="48"/>
    <s v="OTC"/>
    <s v="Tamanna Dhaka"/>
    <n v="28"/>
    <x v="15"/>
    <s v="Abbott India"/>
    <s v="ENR0425X"/>
    <d v="2026-09-01T00:00:00"/>
    <n v="1120"/>
    <x v="1"/>
  </r>
  <r>
    <x v="48"/>
    <s v="Dr. Ramphal Dhaka"/>
    <s v="Krishan Singh"/>
    <n v="16"/>
    <x v="16"/>
    <s v="Sun Pharma"/>
    <s v="IVE0325B"/>
    <d v="2026-08-01T00:00:00"/>
    <n v="800"/>
    <x v="1"/>
  </r>
  <r>
    <x v="48"/>
    <s v="Dr. Amit Narang"/>
    <s v="Radhe Shaym"/>
    <n v="5"/>
    <x v="0"/>
    <s v="Cipla"/>
    <s v="PAR0225B"/>
    <d v="2028-01-01T00:00:00"/>
    <n v="10"/>
    <x v="1"/>
  </r>
  <r>
    <x v="49"/>
    <s v="Dr. Vinay Singla"/>
    <s v="Kuldeep Singh"/>
    <n v="18"/>
    <x v="1"/>
    <s v="Sun Pharma"/>
    <s v="IBU1224C"/>
    <d v="2026-07-01T00:00:00"/>
    <n v="54"/>
    <x v="1"/>
  </r>
  <r>
    <x v="49"/>
    <s v="Dr. Virender Siwach"/>
    <s v="Amar Burdak"/>
    <n v="8"/>
    <x v="2"/>
    <s v="Dr. Reddyâ€™s"/>
    <s v="AMO1224X"/>
    <d v="2026-01-01T00:00:00"/>
    <n v="64"/>
    <x v="1"/>
  </r>
  <r>
    <x v="49"/>
    <s v="Dr. Vinay Singla"/>
    <s v="Baljinder Singh"/>
    <n v="18"/>
    <x v="3"/>
    <s v="Zydus Cadila"/>
    <s v="CET0325X"/>
    <d v="2026-08-01T00:00:00"/>
    <n v="54"/>
    <x v="1"/>
  </r>
  <r>
    <x v="49"/>
    <s v="Dr. Virender Siwach"/>
    <s v="Sumitra Devi"/>
    <n v="14"/>
    <x v="4"/>
    <s v="Lupin"/>
    <s v="MET1224/25"/>
    <d v="2026-02-01T00:00:00"/>
    <n v="56"/>
    <x v="1"/>
  </r>
  <r>
    <x v="49"/>
    <s v="Dr. HC Dahiya"/>
    <s v="Sumit Kumar"/>
    <n v="9"/>
    <x v="5"/>
    <s v="Torrent Pharma"/>
    <s v="AML0325B"/>
    <d v="2026-07-01T00:00:00"/>
    <n v="45"/>
    <x v="1"/>
  </r>
  <r>
    <x v="49"/>
    <s v="Dr. Renu Bansal"/>
    <s v="Santosh Rani"/>
    <n v="27"/>
    <x v="6"/>
    <s v="Alkem Laboratories"/>
    <s v="ATE1224A"/>
    <d v="2027-02-01T00:00:00"/>
    <n v="162"/>
    <x v="1"/>
  </r>
  <r>
    <x v="49"/>
    <s v="Dr. Renu Bansal"/>
    <s v="Shyam Sunder"/>
    <n v="28"/>
    <x v="7"/>
    <s v="Cipla"/>
    <s v="SAL0425/25"/>
    <d v="2028-01-01T00:00:00"/>
    <n v="112"/>
    <x v="1"/>
  </r>
  <r>
    <x v="49"/>
    <s v="Dr. Ramphal Dhaka"/>
    <s v="Balbir Fageria"/>
    <n v="22"/>
    <x v="8"/>
    <s v="Sun Pharma"/>
    <s v="DOX0325X"/>
    <d v="2026-05-01T00:00:00"/>
    <n v="220"/>
    <x v="1"/>
  </r>
  <r>
    <x v="50"/>
    <s v="Dr. HC Dahiya"/>
    <s v="Randhir Fageria"/>
    <n v="19"/>
    <x v="9"/>
    <s v="Mankind Pharma"/>
    <s v="PAN0425A"/>
    <d v="2027-07-01T00:00:00"/>
    <n v="95"/>
    <x v="1"/>
  </r>
  <r>
    <x v="50"/>
    <s v="OTC"/>
    <s v="Sahil Chundwal"/>
    <n v="6"/>
    <x v="10"/>
    <s v="GSK India"/>
    <s v="CRO0425X"/>
    <d v="2026-10-01T00:00:00"/>
    <n v="12"/>
    <x v="1"/>
  </r>
  <r>
    <x v="50"/>
    <s v="OTC"/>
    <s v="Sahil Chundwal"/>
    <n v="11"/>
    <x v="11"/>
    <s v="GSK India"/>
    <s v="ENO1224X"/>
    <d v="2026-10-01T00:00:00"/>
    <n v="110"/>
    <x v="1"/>
  </r>
  <r>
    <x v="50"/>
    <s v="Dr. Vinay Singla"/>
    <s v="Radhe Shaym"/>
    <n v="4"/>
    <x v="12"/>
    <s v="Sanofi India"/>
    <s v="BET1224/25"/>
    <d v="2027-10-01T00:00:00"/>
    <n v="480"/>
    <x v="1"/>
  </r>
  <r>
    <x v="50"/>
    <s v="OTC"/>
    <s v="Brijlalal Dhaka"/>
    <n v="6"/>
    <x v="13"/>
    <s v="Mankind Pharma"/>
    <s v="ALB0125/25"/>
    <d v="2026-10-01T00:00:00"/>
    <n v="120"/>
    <x v="1"/>
  </r>
  <r>
    <x v="50"/>
    <s v="Dr. Vinay Singla"/>
    <s v="Mandeep Kumar"/>
    <n v="18"/>
    <x v="14"/>
    <s v="Pfizer India"/>
    <s v="OXY1224A"/>
    <d v="2026-04-01T00:00:00"/>
    <n v="540"/>
    <x v="1"/>
  </r>
  <r>
    <x v="50"/>
    <s v="Dr. HC Dahiya"/>
    <s v="Raman Dhaka"/>
    <n v="26"/>
    <x v="15"/>
    <s v="Abbott India"/>
    <s v="ENR0125X"/>
    <d v="2026-08-01T00:00:00"/>
    <n v="1040"/>
    <x v="1"/>
  </r>
  <r>
    <x v="50"/>
    <s v="Dr. Geeta Choudhary"/>
    <s v="Sanjay Riwar"/>
    <n v="6"/>
    <x v="16"/>
    <s v="Sun Pharma"/>
    <s v="IVE0125/25"/>
    <d v="2026-10-01T00:00:00"/>
    <n v="300"/>
    <x v="1"/>
  </r>
  <r>
    <x v="51"/>
    <s v="Dr. Kamaljeet Sambhyl"/>
    <s v="Santosh Rani"/>
    <n v="5"/>
    <x v="0"/>
    <s v="Cipla"/>
    <s v="PAR0225/25"/>
    <d v="2027-05-01T00:00:00"/>
    <n v="10"/>
    <x v="1"/>
  </r>
  <r>
    <x v="51"/>
    <s v="Dr. Virender Siwach"/>
    <s v="Umesh Kumar"/>
    <n v="18"/>
    <x v="1"/>
    <s v="Sun Pharma"/>
    <s v="IBU0225A"/>
    <d v="2026-11-01T00:00:00"/>
    <n v="54"/>
    <x v="1"/>
  </r>
  <r>
    <x v="51"/>
    <s v="Dr. HC Dahiya"/>
    <s v="Sube Ram"/>
    <n v="16"/>
    <x v="2"/>
    <s v="Dr. Reddyâ€™s"/>
    <s v="AMO1224B"/>
    <d v="2026-12-01T00:00:00"/>
    <n v="128"/>
    <x v="1"/>
  </r>
  <r>
    <x v="51"/>
    <s v="Dr. Kamaljeet Sambhyl"/>
    <s v="Chander Bhan"/>
    <n v="9"/>
    <x v="3"/>
    <s v="Zydus Cadila"/>
    <s v="CET0425X"/>
    <d v="2028-02-01T00:00:00"/>
    <n v="27"/>
    <x v="1"/>
  </r>
  <r>
    <x v="51"/>
    <s v="OTC"/>
    <s v="Umesh Kumar"/>
    <n v="13"/>
    <x v="4"/>
    <s v="Lupin"/>
    <s v="MET0125A"/>
    <d v="2027-05-01T00:00:00"/>
    <n v="52"/>
    <x v="1"/>
  </r>
  <r>
    <x v="51"/>
    <s v="Dr. Renu Bansal"/>
    <s v="Shishpal Sharma"/>
    <n v="9"/>
    <x v="5"/>
    <s v="Torrent Pharma"/>
    <s v="AML0125C"/>
    <d v="2027-12-01T00:00:00"/>
    <n v="45"/>
    <x v="1"/>
  </r>
  <r>
    <x v="51"/>
    <s v="Dr. Ramphal Dhaka"/>
    <s v="Ravi Dhaka"/>
    <n v="11"/>
    <x v="6"/>
    <s v="Alkem Laboratories"/>
    <s v="ATE1224A"/>
    <d v="2027-07-01T00:00:00"/>
    <n v="66"/>
    <x v="1"/>
  </r>
  <r>
    <x v="51"/>
    <s v="Dr. Anshul Sehgal"/>
    <s v="Shyam Sunder"/>
    <n v="13"/>
    <x v="7"/>
    <s v="Cipla"/>
    <s v="SAL0125X"/>
    <d v="2027-12-01T00:00:00"/>
    <n v="52"/>
    <x v="1"/>
  </r>
  <r>
    <x v="52"/>
    <s v="Dr. Virender Siwach"/>
    <s v="Amar Burdak"/>
    <n v="21"/>
    <x v="8"/>
    <s v="Sun Pharma"/>
    <s v="DOX1224C"/>
    <d v="2026-09-01T00:00:00"/>
    <n v="210"/>
    <x v="1"/>
  </r>
  <r>
    <x v="52"/>
    <s v="Dr. Sameer Tuteja"/>
    <s v="Shishpal Sharma"/>
    <n v="20"/>
    <x v="9"/>
    <s v="Mankind Pharma"/>
    <s v="PAN0325/25"/>
    <d v="2026-10-01T00:00:00"/>
    <n v="100"/>
    <x v="1"/>
  </r>
  <r>
    <x v="52"/>
    <s v="OTC"/>
    <s v="Ankit Bhadu"/>
    <n v="19"/>
    <x v="10"/>
    <s v="GSK India"/>
    <s v="CRO0425B"/>
    <d v="2026-06-01T00:00:00"/>
    <n v="38"/>
    <x v="1"/>
  </r>
  <r>
    <x v="52"/>
    <s v="Dr. Ramphal Dhaka"/>
    <s v="Chander Bhan"/>
    <n v="29"/>
    <x v="11"/>
    <s v="GSK India"/>
    <s v="ENO1224B"/>
    <d v="2027-02-01T00:00:00"/>
    <n v="290"/>
    <x v="1"/>
  </r>
  <r>
    <x v="52"/>
    <s v="OTC"/>
    <s v="Shyam Sunder"/>
    <n v="2"/>
    <x v="12"/>
    <s v="Sanofi India"/>
    <s v="BET1224B"/>
    <d v="2026-03-01T00:00:00"/>
    <n v="240"/>
    <x v="1"/>
  </r>
  <r>
    <x v="52"/>
    <s v="Dr. HC Dahiya"/>
    <s v="Umesh Kumar"/>
    <n v="20"/>
    <x v="13"/>
    <s v="Mankind Pharma"/>
    <s v="ALB0425/25"/>
    <d v="2028-01-01T00:00:00"/>
    <n v="400"/>
    <x v="1"/>
  </r>
  <r>
    <x v="52"/>
    <s v="Dr. HC Dahiya"/>
    <s v="Kuldeep Singh"/>
    <n v="19"/>
    <x v="14"/>
    <s v="Pfizer India"/>
    <s v="OXY0225/25"/>
    <d v="2027-10-01T00:00:00"/>
    <n v="570"/>
    <x v="1"/>
  </r>
  <r>
    <x v="52"/>
    <s v="Dr. Virender Siwach"/>
    <s v="Manisha Rani"/>
    <n v="18"/>
    <x v="15"/>
    <s v="Abbott India"/>
    <s v="ENR0425X"/>
    <d v="2027-02-01T00:00:00"/>
    <n v="720"/>
    <x v="1"/>
  </r>
  <r>
    <x v="53"/>
    <s v="Dr. Sameer Tuteja"/>
    <s v="Ravi Dhaka"/>
    <n v="22"/>
    <x v="16"/>
    <s v="Sun Pharma"/>
    <s v="IVE1224A"/>
    <d v="2026-05-01T00:00:00"/>
    <n v="1100"/>
    <x v="1"/>
  </r>
  <r>
    <x v="53"/>
    <s v="Dr. Ramphal Dhaka"/>
    <s v="Mandeep Kumar"/>
    <n v="22"/>
    <x v="0"/>
    <s v="Cipla"/>
    <s v="PAR0425X"/>
    <d v="2027-03-01T00:00:00"/>
    <n v="44"/>
    <x v="1"/>
  </r>
  <r>
    <x v="53"/>
    <s v="Dr. Amit Narang"/>
    <s v="Sahil Chundwal"/>
    <n v="29"/>
    <x v="1"/>
    <s v="Sun Pharma"/>
    <s v="IBU0325C"/>
    <d v="2026-12-01T00:00:00"/>
    <n v="87"/>
    <x v="1"/>
  </r>
  <r>
    <x v="53"/>
    <s v="Dr. Kamaljeet Sambhyl"/>
    <s v="Dinesh Sharma"/>
    <n v="24"/>
    <x v="2"/>
    <s v="Dr. Reddyâ€™s"/>
    <s v="AMO0125X"/>
    <d v="2027-10-01T00:00:00"/>
    <n v="192"/>
    <x v="1"/>
  </r>
  <r>
    <x v="53"/>
    <s v="Dr. Renu Bansal"/>
    <s v="Amar Burdak"/>
    <n v="13"/>
    <x v="3"/>
    <s v="Zydus Cadila"/>
    <s v="CET0225/25"/>
    <d v="2026-06-01T00:00:00"/>
    <n v="39"/>
    <x v="1"/>
  </r>
  <r>
    <x v="53"/>
    <s v="OTC"/>
    <s v="Krishan Singh"/>
    <n v="25"/>
    <x v="4"/>
    <s v="Lupin"/>
    <s v="MET0425C"/>
    <d v="2026-04-01T00:00:00"/>
    <n v="100"/>
    <x v="1"/>
  </r>
  <r>
    <x v="53"/>
    <s v="OTC"/>
    <s v="Amar Burdak"/>
    <n v="8"/>
    <x v="5"/>
    <s v="Torrent Pharma"/>
    <s v="AML0425C"/>
    <d v="2027-12-01T00:00:00"/>
    <n v="40"/>
    <x v="1"/>
  </r>
  <r>
    <x v="53"/>
    <s v="OTC"/>
    <s v="Sumit Kumar"/>
    <n v="22"/>
    <x v="6"/>
    <s v="Alkem Laboratories"/>
    <s v="ATE0225A"/>
    <d v="2026-12-01T00:00:00"/>
    <n v="132"/>
    <x v="1"/>
  </r>
  <r>
    <x v="54"/>
    <s v="Dr. Vinay Singla"/>
    <s v="Shyam Sunder"/>
    <n v="20"/>
    <x v="7"/>
    <s v="Cipla"/>
    <s v="SAL1224C"/>
    <d v="2026-10-01T00:00:00"/>
    <n v="80"/>
    <x v="1"/>
  </r>
  <r>
    <x v="54"/>
    <s v="Dr. Sameer Tuteja"/>
    <s v="Manisha Rani"/>
    <n v="30"/>
    <x v="8"/>
    <s v="Sun Pharma"/>
    <s v="DOX0125B"/>
    <d v="2026-11-01T00:00:00"/>
    <n v="300"/>
    <x v="1"/>
  </r>
  <r>
    <x v="54"/>
    <s v="OTC"/>
    <s v="Shishpal Sharma"/>
    <n v="15"/>
    <x v="9"/>
    <s v="Mankind Pharma"/>
    <s v="PAN0125/25"/>
    <d v="2026-11-01T00:00:00"/>
    <n v="75"/>
    <x v="1"/>
  </r>
  <r>
    <x v="54"/>
    <s v="Dr. Satbir Khumber"/>
    <s v="Baljinder Singh"/>
    <n v="11"/>
    <x v="10"/>
    <s v="GSK India"/>
    <s v="CRO0325A"/>
    <d v="2027-12-01T00:00:00"/>
    <n v="22"/>
    <x v="1"/>
  </r>
  <r>
    <x v="54"/>
    <s v="OTC"/>
    <s v="Baljinder Singh"/>
    <n v="2"/>
    <x v="11"/>
    <s v="GSK India"/>
    <s v="ENO0125A"/>
    <d v="2027-10-01T00:00:00"/>
    <n v="20"/>
    <x v="1"/>
  </r>
  <r>
    <x v="54"/>
    <s v="Dr. Geeta Choudhary"/>
    <s v="Amar Burdak"/>
    <n v="20"/>
    <x v="12"/>
    <s v="Sanofi India"/>
    <s v="BET0225/25"/>
    <d v="2027-01-01T00:00:00"/>
    <n v="2400"/>
    <x v="1"/>
  </r>
  <r>
    <x v="54"/>
    <s v="Dr. Renu Bansal"/>
    <s v="Balbir Fageria"/>
    <n v="23"/>
    <x v="13"/>
    <s v="Mankind Pharma"/>
    <s v="ALB1224/25"/>
    <d v="2027-11-01T00:00:00"/>
    <n v="460"/>
    <x v="1"/>
  </r>
  <r>
    <x v="54"/>
    <s v="Dr. Renu Bansal"/>
    <s v="Mandeep Kumar"/>
    <n v="3"/>
    <x v="14"/>
    <s v="Pfizer India"/>
    <s v="OXY0125/25"/>
    <d v="2027-10-01T00:00:00"/>
    <n v="90"/>
    <x v="1"/>
  </r>
  <r>
    <x v="55"/>
    <s v="Dr. Virender Siwach"/>
    <s v="Sumitra Devi"/>
    <n v="30"/>
    <x v="15"/>
    <s v="Abbott India"/>
    <s v="ENR0425X"/>
    <d v="2028-02-01T00:00:00"/>
    <n v="1200"/>
    <x v="1"/>
  </r>
  <r>
    <x v="55"/>
    <s v="Dr. Sameer Tuteja"/>
    <s v="Ravi Dhaka"/>
    <n v="21"/>
    <x v="16"/>
    <s v="Sun Pharma"/>
    <s v="IVE0225B"/>
    <d v="2027-10-01T00:00:00"/>
    <n v="1050"/>
    <x v="1"/>
  </r>
  <r>
    <x v="55"/>
    <s v="OTC"/>
    <s v="Sumitra Devi"/>
    <n v="3"/>
    <x v="0"/>
    <s v="Cipla"/>
    <s v="PAR1224/25"/>
    <d v="2026-11-01T00:00:00"/>
    <n v="6"/>
    <x v="1"/>
  </r>
  <r>
    <x v="55"/>
    <s v="Dr. Ramphal Dhaka"/>
    <s v="Naseeb Khakhal"/>
    <n v="4"/>
    <x v="1"/>
    <s v="Sun Pharma"/>
    <s v="IBU1224/25"/>
    <d v="2026-03-01T00:00:00"/>
    <n v="12"/>
    <x v="1"/>
  </r>
  <r>
    <x v="55"/>
    <s v="OTC"/>
    <s v="Sita Ram"/>
    <n v="2"/>
    <x v="2"/>
    <s v="Dr. Reddyâ€™s"/>
    <s v="AMO0325C"/>
    <d v="2026-03-01T00:00:00"/>
    <n v="16"/>
    <x v="1"/>
  </r>
  <r>
    <x v="55"/>
    <s v="Dr. Amit Narang"/>
    <s v="Naseeb Khakhal"/>
    <n v="5"/>
    <x v="3"/>
    <s v="Zydus Cadila"/>
    <s v="CET0125A"/>
    <d v="2026-01-01T00:00:00"/>
    <n v="15"/>
    <x v="1"/>
  </r>
  <r>
    <x v="55"/>
    <s v="Dr. Ramphal Dhaka"/>
    <s v="Pawan Khakhal"/>
    <n v="14"/>
    <x v="4"/>
    <s v="Lupin"/>
    <s v="MET0125B"/>
    <d v="2027-12-01T00:00:00"/>
    <n v="56"/>
    <x v="1"/>
  </r>
  <r>
    <x v="55"/>
    <s v="Dr. Renu Bansal"/>
    <s v="Yogesh Khicher"/>
    <n v="20"/>
    <x v="5"/>
    <s v="Torrent Pharma"/>
    <s v="AML0125/25"/>
    <d v="2026-07-01T00:00:00"/>
    <n v="100"/>
    <x v="1"/>
  </r>
  <r>
    <x v="56"/>
    <s v="Dr. Anshul Sehgal"/>
    <s v="Chander Bhan"/>
    <n v="21"/>
    <x v="6"/>
    <s v="Alkem Laboratories"/>
    <s v="ATE0125C"/>
    <d v="2026-12-01T00:00:00"/>
    <n v="126"/>
    <x v="1"/>
  </r>
  <r>
    <x v="56"/>
    <s v="Dr. Satbir Khumber"/>
    <s v="Kuldeep Singh"/>
    <n v="11"/>
    <x v="7"/>
    <s v="Cipla"/>
    <s v="SAL0225/25"/>
    <d v="2027-06-01T00:00:00"/>
    <n v="44"/>
    <x v="1"/>
  </r>
  <r>
    <x v="56"/>
    <s v="OTC"/>
    <s v="Ankit Bhadu"/>
    <n v="24"/>
    <x v="8"/>
    <s v="Sun Pharma"/>
    <s v="DOX0125B"/>
    <d v="2027-09-01T00:00:00"/>
    <n v="240"/>
    <x v="1"/>
  </r>
  <r>
    <x v="56"/>
    <s v="Dr. Amit Narang"/>
    <s v="Amit Dhaka"/>
    <n v="4"/>
    <x v="9"/>
    <s v="Mankind Pharma"/>
    <s v="PAN0125B"/>
    <d v="2026-10-01T00:00:00"/>
    <n v="20"/>
    <x v="1"/>
  </r>
  <r>
    <x v="56"/>
    <s v="Dr. Rajesh Batra"/>
    <s v="Sube Ram"/>
    <n v="7"/>
    <x v="10"/>
    <s v="GSK India"/>
    <s v="CRO1224C"/>
    <d v="2027-03-01T00:00:00"/>
    <n v="14"/>
    <x v="1"/>
  </r>
  <r>
    <x v="56"/>
    <s v="Dr. Amit Narang"/>
    <s v="Ram Kumar"/>
    <n v="6"/>
    <x v="11"/>
    <s v="GSK India"/>
    <s v="ENO0425B"/>
    <d v="2027-03-01T00:00:00"/>
    <n v="60"/>
    <x v="1"/>
  </r>
  <r>
    <x v="56"/>
    <s v="Dr. Sameer Tuteja"/>
    <s v="Amar Burdak"/>
    <n v="3"/>
    <x v="12"/>
    <s v="Sanofi India"/>
    <s v="BET0225C"/>
    <d v="2026-07-01T00:00:00"/>
    <n v="360"/>
    <x v="1"/>
  </r>
  <r>
    <x v="56"/>
    <s v="Dr. HC Dahiya"/>
    <s v="Sahil Chundwal"/>
    <n v="16"/>
    <x v="13"/>
    <s v="Mankind Pharma"/>
    <s v="ALB1224/25"/>
    <d v="2027-04-01T00:00:00"/>
    <n v="320"/>
    <x v="1"/>
  </r>
  <r>
    <x v="57"/>
    <s v="Dr. Amit Narang"/>
    <s v="Sahil Chundwal"/>
    <n v="30"/>
    <x v="14"/>
    <s v="Pfizer India"/>
    <s v="OXY0425/25"/>
    <d v="2027-03-01T00:00:00"/>
    <n v="900"/>
    <x v="1"/>
  </r>
  <r>
    <x v="57"/>
    <s v="Dr. Rajesh Batra"/>
    <s v="Sumitra Devi"/>
    <n v="15"/>
    <x v="15"/>
    <s v="Abbott India"/>
    <s v="ENR0325B"/>
    <d v="2026-12-01T00:00:00"/>
    <n v="600"/>
    <x v="1"/>
  </r>
  <r>
    <x v="57"/>
    <s v="Dr. Virender Siwach"/>
    <s v="Mandeep Kumar"/>
    <n v="27"/>
    <x v="16"/>
    <s v="Sun Pharma"/>
    <s v="IVE1224X"/>
    <d v="2027-10-01T00:00:00"/>
    <n v="1350"/>
    <x v="1"/>
  </r>
  <r>
    <x v="57"/>
    <s v="Dr. Rajesh Batra"/>
    <s v="Dinesh Sharma"/>
    <n v="10"/>
    <x v="0"/>
    <s v="Cipla"/>
    <s v="PAR0125B"/>
    <d v="2027-06-01T00:00:00"/>
    <n v="20"/>
    <x v="1"/>
  </r>
  <r>
    <x v="57"/>
    <s v="Dr. Rajesh Batra"/>
    <s v="Santosh Rani"/>
    <n v="8"/>
    <x v="1"/>
    <s v="Sun Pharma"/>
    <s v="IBU0425A"/>
    <d v="2026-08-01T00:00:00"/>
    <n v="24"/>
    <x v="1"/>
  </r>
  <r>
    <x v="57"/>
    <s v="Dr. Vinay Singla"/>
    <s v="Ram Kumar"/>
    <n v="5"/>
    <x v="2"/>
    <s v="Dr. Reddyâ€™s"/>
    <s v="AMO0225B"/>
    <d v="2027-01-01T00:00:00"/>
    <n v="40"/>
    <x v="1"/>
  </r>
  <r>
    <x v="57"/>
    <s v="Dr. Renu Bansal"/>
    <s v="Sube Ram"/>
    <n v="12"/>
    <x v="3"/>
    <s v="Zydus Cadila"/>
    <s v="CET0225X"/>
    <d v="2026-10-01T00:00:00"/>
    <n v="36"/>
    <x v="1"/>
  </r>
  <r>
    <x v="57"/>
    <s v="Dr. Virender Siwach"/>
    <s v="Naseeb Khakhal"/>
    <n v="10"/>
    <x v="4"/>
    <s v="Lupin"/>
    <s v="MET0325A"/>
    <d v="2026-04-01T00:00:00"/>
    <n v="40"/>
    <x v="1"/>
  </r>
  <r>
    <x v="58"/>
    <s v="OTC"/>
    <s v="Naseeb Khakhal"/>
    <n v="1"/>
    <x v="5"/>
    <s v="Torrent Pharma"/>
    <s v="AML0425/25"/>
    <d v="2026-10-01T00:00:00"/>
    <n v="5"/>
    <x v="1"/>
  </r>
  <r>
    <x v="58"/>
    <s v="OTC"/>
    <s v="Hari Singh"/>
    <n v="28"/>
    <x v="6"/>
    <s v="Alkem Laboratories"/>
    <s v="ATE0125A"/>
    <d v="2026-06-01T00:00:00"/>
    <n v="168"/>
    <x v="1"/>
  </r>
  <r>
    <x v="58"/>
    <s v="Dr. Manohar Pahuja"/>
    <s v="Sita Ram"/>
    <n v="9"/>
    <x v="7"/>
    <s v="Cipla"/>
    <s v="SAL0325C"/>
    <d v="2027-05-01T00:00:00"/>
    <n v="36"/>
    <x v="1"/>
  </r>
  <r>
    <x v="58"/>
    <s v="OTC"/>
    <s v="Raman Dhaka"/>
    <n v="16"/>
    <x v="8"/>
    <s v="Sun Pharma"/>
    <s v="DOX0425/25"/>
    <d v="2026-07-01T00:00:00"/>
    <n v="160"/>
    <x v="1"/>
  </r>
  <r>
    <x v="58"/>
    <s v="Dr. Sameer Tuteja"/>
    <s v="Sumit Kumar"/>
    <n v="9"/>
    <x v="9"/>
    <s v="Mankind Pharma"/>
    <s v="PAN0325X"/>
    <d v="2027-04-01T00:00:00"/>
    <n v="45"/>
    <x v="1"/>
  </r>
  <r>
    <x v="58"/>
    <s v="Dr. Ramphal Dhaka"/>
    <s v="Sahil Chundwal"/>
    <n v="3"/>
    <x v="10"/>
    <s v="GSK India"/>
    <s v="CRO1224C"/>
    <d v="2027-07-01T00:00:00"/>
    <n v="6"/>
    <x v="1"/>
  </r>
  <r>
    <x v="58"/>
    <s v="OTC"/>
    <s v="Krishan Singh"/>
    <n v="26"/>
    <x v="11"/>
    <s v="GSK India"/>
    <s v="ENO1224B"/>
    <d v="2026-12-01T00:00:00"/>
    <n v="260"/>
    <x v="1"/>
  </r>
  <r>
    <x v="58"/>
    <s v="Dr. Manohar Pahuja"/>
    <s v="Baljinder Singh"/>
    <n v="27"/>
    <x v="12"/>
    <s v="Sanofi India"/>
    <s v="BET0325C"/>
    <d v="2028-01-01T00:00:00"/>
    <n v="3240"/>
    <x v="1"/>
  </r>
  <r>
    <x v="59"/>
    <s v="Dr. Sameer Tuteja"/>
    <s v="Santosh Rani"/>
    <n v="10"/>
    <x v="13"/>
    <s v="Mankind Pharma"/>
    <s v="ALB0425/25"/>
    <d v="2027-05-01T00:00:00"/>
    <n v="200"/>
    <x v="2"/>
  </r>
  <r>
    <x v="59"/>
    <s v="Dr. Sameer Tuteja"/>
    <s v="Ram Kumar"/>
    <n v="6"/>
    <x v="14"/>
    <s v="Pfizer India"/>
    <s v="OXY0125/25"/>
    <d v="2026-08-01T00:00:00"/>
    <n v="180"/>
    <x v="2"/>
  </r>
  <r>
    <x v="59"/>
    <s v="Dr. Sameer Tuteja"/>
    <s v="Ankit Bhadu"/>
    <n v="29"/>
    <x v="15"/>
    <s v="Abbott India"/>
    <s v="ENR1224A"/>
    <d v="2026-06-01T00:00:00"/>
    <n v="1160"/>
    <x v="2"/>
  </r>
  <r>
    <x v="59"/>
    <s v="Dr. Satbir Khumber"/>
    <s v="Chander Bhan"/>
    <n v="8"/>
    <x v="16"/>
    <s v="Sun Pharma"/>
    <s v="IVE0425X"/>
    <d v="2027-09-01T00:00:00"/>
    <n v="400"/>
    <x v="2"/>
  </r>
  <r>
    <x v="59"/>
    <s v="Dr. Geeta Choudhary"/>
    <s v="Hari Singh"/>
    <n v="28"/>
    <x v="0"/>
    <s v="Cipla"/>
    <s v="PAR0125A"/>
    <d v="2026-06-01T00:00:00"/>
    <n v="56"/>
    <x v="2"/>
  </r>
  <r>
    <x v="59"/>
    <s v="OTC"/>
    <s v="Shishpal Sharma"/>
    <n v="4"/>
    <x v="1"/>
    <s v="Sun Pharma"/>
    <s v="IBU1224B"/>
    <d v="2026-05-01T00:00:00"/>
    <n v="12"/>
    <x v="2"/>
  </r>
  <r>
    <x v="59"/>
    <s v="Dr. Ramphal Dhaka"/>
    <s v="Hari Singh"/>
    <n v="29"/>
    <x v="2"/>
    <s v="Dr. Reddyâ€™s"/>
    <s v="AMO1224A"/>
    <d v="2027-11-01T00:00:00"/>
    <n v="232"/>
    <x v="2"/>
  </r>
  <r>
    <x v="59"/>
    <s v="Dr. Ramphal Dhaka"/>
    <s v="Krishan Singh"/>
    <n v="14"/>
    <x v="3"/>
    <s v="Zydus Cadila"/>
    <s v="CET0425B"/>
    <d v="2027-04-01T00:00:00"/>
    <n v="42"/>
    <x v="2"/>
  </r>
  <r>
    <x v="60"/>
    <s v="Dr. Vinay Singla"/>
    <s v="Baljinder Singh"/>
    <n v="2"/>
    <x v="4"/>
    <s v="Lupin"/>
    <s v="MET0425B"/>
    <d v="2026-12-01T00:00:00"/>
    <n v="8"/>
    <x v="2"/>
  </r>
  <r>
    <x v="60"/>
    <s v="OTC"/>
    <s v="Ram Kumar"/>
    <n v="16"/>
    <x v="5"/>
    <s v="Torrent Pharma"/>
    <s v="AML0225X"/>
    <d v="2026-05-01T00:00:00"/>
    <n v="80"/>
    <x v="2"/>
  </r>
  <r>
    <x v="60"/>
    <s v="OTC"/>
    <s v="Dinesh Sharma"/>
    <n v="7"/>
    <x v="6"/>
    <s v="Alkem Laboratories"/>
    <s v="ATE0125B"/>
    <d v="2026-03-01T00:00:00"/>
    <n v="42"/>
    <x v="2"/>
  </r>
  <r>
    <x v="60"/>
    <s v="Dr. Manohar Pahuja"/>
    <s v="Amar Burdak"/>
    <n v="12"/>
    <x v="7"/>
    <s v="Cipla"/>
    <s v="SAL0125A"/>
    <d v="2027-09-01T00:00:00"/>
    <n v="48"/>
    <x v="2"/>
  </r>
  <r>
    <x v="60"/>
    <s v="Dr. Geeta Choudhary"/>
    <s v="Sita Ram"/>
    <n v="5"/>
    <x v="8"/>
    <s v="Sun Pharma"/>
    <s v="DOX0125A"/>
    <d v="2027-07-01T00:00:00"/>
    <n v="50"/>
    <x v="2"/>
  </r>
  <r>
    <x v="60"/>
    <s v="Dr. Anshul Sehgal"/>
    <s v="Randhir Fageria"/>
    <n v="1"/>
    <x v="9"/>
    <s v="Mankind Pharma"/>
    <s v="PAN0325C"/>
    <d v="2026-06-01T00:00:00"/>
    <n v="5"/>
    <x v="2"/>
  </r>
  <r>
    <x v="60"/>
    <s v="Dr. Anshul Sehgal"/>
    <s v="Ram Kumar"/>
    <n v="8"/>
    <x v="10"/>
    <s v="GSK India"/>
    <s v="CRO0225C"/>
    <d v="2027-02-01T00:00:00"/>
    <n v="16"/>
    <x v="2"/>
  </r>
  <r>
    <x v="60"/>
    <s v="Dr. Manohar Pahuja"/>
    <s v="Shyam Sunder"/>
    <n v="2"/>
    <x v="11"/>
    <s v="GSK India"/>
    <s v="ENO0425B"/>
    <d v="2028-01-01T00:00:00"/>
    <n v="20"/>
    <x v="2"/>
  </r>
  <r>
    <x v="61"/>
    <s v="Dr. Virender Siwach"/>
    <s v="Mohit Chaberwal"/>
    <n v="21"/>
    <x v="12"/>
    <s v="Sanofi India"/>
    <s v="BET0325A"/>
    <d v="2026-03-01T00:00:00"/>
    <n v="2520"/>
    <x v="2"/>
  </r>
  <r>
    <x v="61"/>
    <s v="Dr. Manohar Pahuja"/>
    <s v="Yogesh Khicher"/>
    <n v="25"/>
    <x v="13"/>
    <s v="Mankind Pharma"/>
    <s v="ALB0325B"/>
    <d v="2027-11-01T00:00:00"/>
    <n v="500"/>
    <x v="2"/>
  </r>
  <r>
    <x v="61"/>
    <s v="Dr. Ramphal Dhaka"/>
    <s v="Randhir Fageria"/>
    <n v="11"/>
    <x v="14"/>
    <s v="Pfizer India"/>
    <s v="OXY0425/25"/>
    <d v="2028-03-01T00:00:00"/>
    <n v="330"/>
    <x v="2"/>
  </r>
  <r>
    <x v="61"/>
    <s v="Dr. Kamaljeet Sambhyl"/>
    <s v="Dinesh Sharma"/>
    <n v="13"/>
    <x v="15"/>
    <s v="Abbott India"/>
    <s v="ENR1224X"/>
    <d v="2026-08-01T00:00:00"/>
    <n v="520"/>
    <x v="2"/>
  </r>
  <r>
    <x v="61"/>
    <s v="Dr. Anshul Sehgal"/>
    <s v="Amar Burdak"/>
    <n v="9"/>
    <x v="16"/>
    <s v="Sun Pharma"/>
    <s v="IVE0125A"/>
    <d v="2026-03-01T00:00:00"/>
    <n v="450"/>
    <x v="2"/>
  </r>
  <r>
    <x v="61"/>
    <s v="Dr. Geeta Choudhary"/>
    <s v="Brijlalal Dhaka"/>
    <n v="16"/>
    <x v="0"/>
    <s v="Cipla"/>
    <s v="PAR0425B"/>
    <d v="2026-04-01T00:00:00"/>
    <n v="32"/>
    <x v="2"/>
  </r>
  <r>
    <x v="61"/>
    <s v="OTC"/>
    <s v="Ravi Dhaka"/>
    <n v="30"/>
    <x v="1"/>
    <s v="Sun Pharma"/>
    <s v="IBU0225X"/>
    <d v="2027-11-01T00:00:00"/>
    <n v="90"/>
    <x v="2"/>
  </r>
  <r>
    <x v="61"/>
    <s v="Dr. Renu Bansal"/>
    <s v="Radhe Shaym"/>
    <n v="3"/>
    <x v="2"/>
    <s v="Dr. Reddyâ€™s"/>
    <s v="AMO0125X"/>
    <d v="2027-08-01T00:00:00"/>
    <n v="24"/>
    <x v="2"/>
  </r>
  <r>
    <x v="62"/>
    <s v="OTC"/>
    <s v="Ankit Bhadu"/>
    <n v="18"/>
    <x v="3"/>
    <s v="Zydus Cadila"/>
    <s v="CET0325C"/>
    <d v="2027-01-01T00:00:00"/>
    <n v="54"/>
    <x v="2"/>
  </r>
  <r>
    <x v="62"/>
    <s v="Dr. Sameer Tuteja"/>
    <s v="Ankit Bhadu"/>
    <n v="12"/>
    <x v="4"/>
    <s v="Lupin"/>
    <s v="MET1224/25"/>
    <d v="2027-01-01T00:00:00"/>
    <n v="48"/>
    <x v="2"/>
  </r>
  <r>
    <x v="62"/>
    <s v="OTC"/>
    <s v="Sanjay Riwar"/>
    <n v="14"/>
    <x v="5"/>
    <s v="Torrent Pharma"/>
    <s v="AML0225A"/>
    <d v="2027-04-01T00:00:00"/>
    <n v="70"/>
    <x v="2"/>
  </r>
  <r>
    <x v="62"/>
    <s v="Dr. Virender Siwach"/>
    <s v="Sanjay Riwar"/>
    <n v="25"/>
    <x v="6"/>
    <s v="Alkem Laboratories"/>
    <s v="ATE0125A"/>
    <d v="2027-09-01T00:00:00"/>
    <n v="150"/>
    <x v="2"/>
  </r>
  <r>
    <x v="62"/>
    <s v="OTC"/>
    <s v="Shishpal Sharma"/>
    <n v="10"/>
    <x v="7"/>
    <s v="Cipla"/>
    <s v="SAL0325A"/>
    <d v="2026-06-01T00:00:00"/>
    <n v="40"/>
    <x v="2"/>
  </r>
  <r>
    <x v="62"/>
    <s v="OTC"/>
    <s v="Umesh Kumar"/>
    <n v="11"/>
    <x v="8"/>
    <s v="Sun Pharma"/>
    <s v="DOX0425B"/>
    <d v="2026-11-01T00:00:00"/>
    <n v="110"/>
    <x v="2"/>
  </r>
  <r>
    <x v="62"/>
    <s v="Dr. Anshul Sehgal"/>
    <s v="Umesh Kumar"/>
    <n v="20"/>
    <x v="9"/>
    <s v="Mankind Pharma"/>
    <s v="PAN0125X"/>
    <d v="2026-08-01T00:00:00"/>
    <n v="100"/>
    <x v="2"/>
  </r>
  <r>
    <x v="62"/>
    <s v="OTC"/>
    <s v="Dinesh Sharma"/>
    <n v="24"/>
    <x v="10"/>
    <s v="GSK India"/>
    <s v="CRO0325X"/>
    <d v="2027-11-01T00:00:00"/>
    <n v="48"/>
    <x v="2"/>
  </r>
  <r>
    <x v="63"/>
    <s v="Dr. Vinay Singla"/>
    <s v="Baljinder Singh"/>
    <n v="21"/>
    <x v="11"/>
    <s v="GSK India"/>
    <s v="ENO0125B"/>
    <d v="2026-07-01T00:00:00"/>
    <n v="210"/>
    <x v="2"/>
  </r>
  <r>
    <x v="63"/>
    <s v="Dr. Renu Bansal"/>
    <s v="Amar Burdak"/>
    <n v="22"/>
    <x v="12"/>
    <s v="Sanofi India"/>
    <s v="BET0125A"/>
    <d v="2026-01-01T00:00:00"/>
    <n v="2640"/>
    <x v="2"/>
  </r>
  <r>
    <x v="63"/>
    <s v="Dr. Renu Bansal"/>
    <s v="Tamanna Dhaka"/>
    <n v="27"/>
    <x v="13"/>
    <s v="Mankind Pharma"/>
    <s v="ALB0225/25"/>
    <d v="2026-04-01T00:00:00"/>
    <n v="540"/>
    <x v="2"/>
  </r>
  <r>
    <x v="63"/>
    <s v="Dr. Rajesh Batra"/>
    <s v="Brijlalal Dhaka"/>
    <n v="4"/>
    <x v="14"/>
    <s v="Pfizer India"/>
    <s v="OXY0225/25"/>
    <d v="2027-11-01T00:00:00"/>
    <n v="120"/>
    <x v="2"/>
  </r>
  <r>
    <x v="63"/>
    <s v="OTC"/>
    <s v="Shyam Sunder"/>
    <n v="24"/>
    <x v="15"/>
    <s v="Abbott India"/>
    <s v="ENR0325B"/>
    <d v="2027-11-01T00:00:00"/>
    <n v="960"/>
    <x v="2"/>
  </r>
  <r>
    <x v="63"/>
    <s v="Dr. Renu Bansal"/>
    <s v="Ram Kumar"/>
    <n v="21"/>
    <x v="16"/>
    <s v="Sun Pharma"/>
    <s v="IVE1224X"/>
    <d v="2026-10-01T00:00:00"/>
    <n v="1050"/>
    <x v="2"/>
  </r>
  <r>
    <x v="63"/>
    <s v="Dr. Geeta Choudhary"/>
    <s v="Balbir Fageria"/>
    <n v="6"/>
    <x v="0"/>
    <s v="Cipla"/>
    <s v="PAR1224/25"/>
    <d v="2026-05-01T00:00:00"/>
    <n v="12"/>
    <x v="2"/>
  </r>
  <r>
    <x v="63"/>
    <s v="Dr. Vinay Singla"/>
    <s v="Ravi Dhaka"/>
    <n v="17"/>
    <x v="1"/>
    <s v="Sun Pharma"/>
    <s v="IBU0325C"/>
    <d v="2027-07-01T00:00:00"/>
    <n v="51"/>
    <x v="2"/>
  </r>
  <r>
    <x v="64"/>
    <s v="OTC"/>
    <s v="Umesh Kumar"/>
    <n v="18"/>
    <x v="2"/>
    <s v="Dr. Reddyâ€™s"/>
    <s v="AMO0325B"/>
    <d v="2026-11-01T00:00:00"/>
    <n v="144"/>
    <x v="2"/>
  </r>
  <r>
    <x v="64"/>
    <s v="Dr. Geeta Choudhary"/>
    <s v="Sube Ram"/>
    <n v="29"/>
    <x v="3"/>
    <s v="Zydus Cadila"/>
    <s v="CET0225A"/>
    <d v="2027-12-01T00:00:00"/>
    <n v="87"/>
    <x v="2"/>
  </r>
  <r>
    <x v="64"/>
    <s v="Dr. Geeta Choudhary"/>
    <s v="Naseeb Khakhal"/>
    <n v="6"/>
    <x v="4"/>
    <s v="Lupin"/>
    <s v="MET1224A"/>
    <d v="2026-03-01T00:00:00"/>
    <n v="24"/>
    <x v="2"/>
  </r>
  <r>
    <x v="64"/>
    <s v="Dr. Renu Bansal"/>
    <s v="Shishpal Sharma"/>
    <n v="27"/>
    <x v="5"/>
    <s v="Torrent Pharma"/>
    <s v="AML0425/25"/>
    <d v="2027-05-01T00:00:00"/>
    <n v="135"/>
    <x v="2"/>
  </r>
  <r>
    <x v="64"/>
    <s v="Dr. Manohar Pahuja"/>
    <s v="Radhe Shaym"/>
    <n v="29"/>
    <x v="6"/>
    <s v="Alkem Laboratories"/>
    <s v="ATE1224A"/>
    <d v="2027-03-01T00:00:00"/>
    <n v="174"/>
    <x v="2"/>
  </r>
  <r>
    <x v="64"/>
    <s v="Dr. Anshul Sehgal"/>
    <s v="Naresh Didharia"/>
    <n v="16"/>
    <x v="7"/>
    <s v="Cipla"/>
    <s v="SAL0125C"/>
    <d v="2026-06-01T00:00:00"/>
    <n v="64"/>
    <x v="2"/>
  </r>
  <r>
    <x v="64"/>
    <s v="OTC"/>
    <s v="Ramkla Devi"/>
    <n v="30"/>
    <x v="8"/>
    <s v="Sun Pharma"/>
    <s v="DOX0225C"/>
    <d v="2027-10-01T00:00:00"/>
    <n v="300"/>
    <x v="2"/>
  </r>
  <r>
    <x v="64"/>
    <s v="Dr. Rajesh Batra"/>
    <s v="Dinesh Sharma"/>
    <n v="10"/>
    <x v="9"/>
    <s v="Mankind Pharma"/>
    <s v="PAN0325A"/>
    <d v="2026-08-01T00:00:00"/>
    <n v="50"/>
    <x v="2"/>
  </r>
  <r>
    <x v="65"/>
    <s v="OTC"/>
    <s v="Yogesh Khicher"/>
    <n v="2"/>
    <x v="10"/>
    <s v="GSK India"/>
    <s v="CRO0325C"/>
    <d v="2027-02-01T00:00:00"/>
    <n v="4"/>
    <x v="2"/>
  </r>
  <r>
    <x v="65"/>
    <s v="Dr. Kamaljeet Sambhyl"/>
    <s v="Mandeep Kumar"/>
    <n v="1"/>
    <x v="11"/>
    <s v="GSK India"/>
    <s v="ENO0125C"/>
    <d v="2027-03-01T00:00:00"/>
    <n v="10"/>
    <x v="2"/>
  </r>
  <r>
    <x v="65"/>
    <s v="OTC"/>
    <s v="Sube Ram"/>
    <n v="27"/>
    <x v="12"/>
    <s v="Sanofi India"/>
    <s v="BET0125X"/>
    <d v="2026-02-01T00:00:00"/>
    <n v="3240"/>
    <x v="2"/>
  </r>
  <r>
    <x v="65"/>
    <s v="Dr. Amit Narang"/>
    <s v="Sanjay Riwar"/>
    <n v="27"/>
    <x v="13"/>
    <s v="Mankind Pharma"/>
    <s v="ALB0425B"/>
    <d v="2028-01-01T00:00:00"/>
    <n v="540"/>
    <x v="2"/>
  </r>
  <r>
    <x v="65"/>
    <s v="Dr. Rajesh Batra"/>
    <s v="Ankit Bhadu"/>
    <n v="15"/>
    <x v="14"/>
    <s v="Pfizer India"/>
    <s v="OXY0325B"/>
    <d v="2027-05-01T00:00:00"/>
    <n v="450"/>
    <x v="2"/>
  </r>
  <r>
    <x v="65"/>
    <s v="Dr. Ramphal Dhaka"/>
    <s v="Amit Dhaka"/>
    <n v="10"/>
    <x v="15"/>
    <s v="Abbott India"/>
    <s v="ENR0325X"/>
    <d v="2026-04-01T00:00:00"/>
    <n v="400"/>
    <x v="2"/>
  </r>
  <r>
    <x v="65"/>
    <s v="Dr. Virender Siwach"/>
    <s v="Ankit Bhadu"/>
    <n v="27"/>
    <x v="16"/>
    <s v="Sun Pharma"/>
    <s v="IVE0225C"/>
    <d v="2027-02-01T00:00:00"/>
    <n v="1350"/>
    <x v="2"/>
  </r>
  <r>
    <x v="65"/>
    <s v="Dr. Renu Bansal"/>
    <s v="Mohit Chaberwal"/>
    <n v="17"/>
    <x v="0"/>
    <s v="Cipla"/>
    <s v="PAR1224A"/>
    <d v="2027-01-01T00:00:00"/>
    <n v="34"/>
    <x v="2"/>
  </r>
  <r>
    <x v="66"/>
    <s v="Dr. Kamaljeet Sambhyl"/>
    <s v="Pawan Khakhal"/>
    <n v="11"/>
    <x v="1"/>
    <s v="Sun Pharma"/>
    <s v="IBU1224X"/>
    <d v="2026-02-01T00:00:00"/>
    <n v="33"/>
    <x v="2"/>
  </r>
  <r>
    <x v="66"/>
    <s v="Dr. Geeta Choudhary"/>
    <s v="Amar Burdak"/>
    <n v="30"/>
    <x v="2"/>
    <s v="Dr. Reddyâ€™s"/>
    <s v="AMO0225C"/>
    <d v="2027-09-01T00:00:00"/>
    <n v="240"/>
    <x v="2"/>
  </r>
  <r>
    <x v="66"/>
    <s v="Dr. Rajesh Batra"/>
    <s v="Pawan Khakhal"/>
    <n v="4"/>
    <x v="3"/>
    <s v="Zydus Cadila"/>
    <s v="CET0325/25"/>
    <d v="2026-10-01T00:00:00"/>
    <n v="12"/>
    <x v="2"/>
  </r>
  <r>
    <x v="66"/>
    <s v="Dr. Satbir Khumber"/>
    <s v="Naresh Didharia"/>
    <n v="2"/>
    <x v="4"/>
    <s v="Lupin"/>
    <s v="MET1224B"/>
    <d v="2027-02-01T00:00:00"/>
    <n v="8"/>
    <x v="2"/>
  </r>
  <r>
    <x v="66"/>
    <s v="Dr. Vinay Singla"/>
    <s v="Sanjay Riwar"/>
    <n v="11"/>
    <x v="5"/>
    <s v="Torrent Pharma"/>
    <s v="AML0225X"/>
    <d v="2026-09-01T00:00:00"/>
    <n v="55"/>
    <x v="2"/>
  </r>
  <r>
    <x v="66"/>
    <s v="Dr. HC Dahiya"/>
    <s v="Krishan Singh"/>
    <n v="19"/>
    <x v="6"/>
    <s v="Alkem Laboratories"/>
    <s v="ATE0225/25"/>
    <d v="2026-03-01T00:00:00"/>
    <n v="114"/>
    <x v="2"/>
  </r>
  <r>
    <x v="66"/>
    <s v="Dr. Kamaljeet Sambhyl"/>
    <s v="Baljinder Singh"/>
    <n v="4"/>
    <x v="7"/>
    <s v="Cipla"/>
    <s v="SAL0425C"/>
    <d v="2027-11-01T00:00:00"/>
    <n v="16"/>
    <x v="2"/>
  </r>
  <r>
    <x v="66"/>
    <s v="OTC"/>
    <s v="Krishan Singh"/>
    <n v="14"/>
    <x v="8"/>
    <s v="Sun Pharma"/>
    <s v="DOX0325A"/>
    <d v="2026-05-01T00:00:00"/>
    <n v="140"/>
    <x v="2"/>
  </r>
  <r>
    <x v="67"/>
    <s v="OTC"/>
    <s v="Santosh Rani"/>
    <n v="11"/>
    <x v="9"/>
    <s v="Mankind Pharma"/>
    <s v="PAN1224X"/>
    <d v="2027-04-01T00:00:00"/>
    <n v="55"/>
    <x v="2"/>
  </r>
  <r>
    <x v="67"/>
    <s v="Dr. Rajesh Batra"/>
    <s v="Ravi Dhaka"/>
    <n v="27"/>
    <x v="10"/>
    <s v="GSK India"/>
    <s v="CRO0125A"/>
    <d v="2027-08-01T00:00:00"/>
    <n v="54"/>
    <x v="2"/>
  </r>
  <r>
    <x v="67"/>
    <s v="Dr. Sameer Tuteja"/>
    <s v="Baljinder Singh"/>
    <n v="27"/>
    <x v="11"/>
    <s v="GSK India"/>
    <s v="ENO1224X"/>
    <d v="2026-12-01T00:00:00"/>
    <n v="270"/>
    <x v="2"/>
  </r>
  <r>
    <x v="67"/>
    <s v="Dr. Geeta Choudhary"/>
    <s v="Raman Dhaka"/>
    <n v="6"/>
    <x v="12"/>
    <s v="Sanofi India"/>
    <s v="BET0325X"/>
    <d v="2027-07-01T00:00:00"/>
    <n v="720"/>
    <x v="2"/>
  </r>
  <r>
    <x v="67"/>
    <s v="Dr. Amit Narang"/>
    <s v="Naseeb Khakhal"/>
    <n v="5"/>
    <x v="13"/>
    <s v="Mankind Pharma"/>
    <s v="ALB1224A"/>
    <d v="2027-09-01T00:00:00"/>
    <n v="100"/>
    <x v="2"/>
  </r>
  <r>
    <x v="67"/>
    <s v="OTC"/>
    <s v="Umesh Kumar"/>
    <n v="6"/>
    <x v="14"/>
    <s v="Pfizer India"/>
    <s v="OXY0425A"/>
    <d v="2026-07-01T00:00:00"/>
    <n v="180"/>
    <x v="2"/>
  </r>
  <r>
    <x v="67"/>
    <s v="Dr. Manohar Pahuja"/>
    <s v="Balbir Fageria"/>
    <n v="15"/>
    <x v="15"/>
    <s v="Abbott India"/>
    <s v="ENR0425/25"/>
    <d v="2026-05-01T00:00:00"/>
    <n v="600"/>
    <x v="2"/>
  </r>
  <r>
    <x v="67"/>
    <s v="Dr. Anshul Sehgal"/>
    <s v="Sumitra Devi"/>
    <n v="1"/>
    <x v="16"/>
    <s v="Sun Pharma"/>
    <s v="IVE0125C"/>
    <d v="2026-04-01T00:00:00"/>
    <n v="50"/>
    <x v="2"/>
  </r>
  <r>
    <x v="68"/>
    <s v="Dr. Renu Bansal"/>
    <s v="Amit Dhaka"/>
    <n v="20"/>
    <x v="0"/>
    <s v="Cipla"/>
    <s v="PAR0225A"/>
    <d v="2028-01-01T00:00:00"/>
    <n v="40"/>
    <x v="2"/>
  </r>
  <r>
    <x v="68"/>
    <s v="Dr. Rajesh Batra"/>
    <s v="Manisha Rani"/>
    <n v="25"/>
    <x v="1"/>
    <s v="Sun Pharma"/>
    <s v="IBU1224B"/>
    <d v="2027-11-01T00:00:00"/>
    <n v="75"/>
    <x v="2"/>
  </r>
  <r>
    <x v="68"/>
    <s v="Dr. Vinay Singla"/>
    <s v="Balbir Fageria"/>
    <n v="24"/>
    <x v="2"/>
    <s v="Dr. Reddyâ€™s"/>
    <s v="AMO0225A"/>
    <d v="2027-07-01T00:00:00"/>
    <n v="192"/>
    <x v="2"/>
  </r>
  <r>
    <x v="68"/>
    <s v="OTC"/>
    <s v="Mohit Chaberwal"/>
    <n v="25"/>
    <x v="3"/>
    <s v="Zydus Cadila"/>
    <s v="CET0225A"/>
    <d v="2026-02-01T00:00:00"/>
    <n v="75"/>
    <x v="2"/>
  </r>
  <r>
    <x v="68"/>
    <s v="Dr. Vinay Singla"/>
    <s v="Radhe Shaym"/>
    <n v="22"/>
    <x v="4"/>
    <s v="Lupin"/>
    <s v="MET0225B"/>
    <d v="2027-02-01T00:00:00"/>
    <n v="88"/>
    <x v="2"/>
  </r>
  <r>
    <x v="68"/>
    <s v="OTC"/>
    <s v="Tamanna Dhaka"/>
    <n v="10"/>
    <x v="5"/>
    <s v="Torrent Pharma"/>
    <s v="AML0425A"/>
    <d v="2027-04-01T00:00:00"/>
    <n v="50"/>
    <x v="2"/>
  </r>
  <r>
    <x v="68"/>
    <s v="OTC"/>
    <s v="Radhe Shaym"/>
    <n v="29"/>
    <x v="6"/>
    <s v="Alkem Laboratories"/>
    <s v="ATE0225X"/>
    <d v="2027-10-01T00:00:00"/>
    <n v="174"/>
    <x v="2"/>
  </r>
  <r>
    <x v="68"/>
    <s v="OTC"/>
    <s v="Radhe Shaym"/>
    <n v="23"/>
    <x v="7"/>
    <s v="Cipla"/>
    <s v="SAL0225A"/>
    <d v="2028-01-01T00:00:00"/>
    <n v="92"/>
    <x v="2"/>
  </r>
  <r>
    <x v="69"/>
    <s v="Dr. Satbir Khumber"/>
    <s v="Sumit Kumar"/>
    <n v="12"/>
    <x v="8"/>
    <s v="Sun Pharma"/>
    <s v="DOX0325/25"/>
    <d v="2027-06-01T00:00:00"/>
    <n v="120"/>
    <x v="2"/>
  </r>
  <r>
    <x v="69"/>
    <s v="Dr. Sameer Tuteja"/>
    <s v="Ram Kumar"/>
    <n v="10"/>
    <x v="9"/>
    <s v="Mankind Pharma"/>
    <s v="PAN0125A"/>
    <d v="2026-09-01T00:00:00"/>
    <n v="50"/>
    <x v="2"/>
  </r>
  <r>
    <x v="69"/>
    <s v="Dr. Manohar Pahuja"/>
    <s v="Sita Ram"/>
    <n v="5"/>
    <x v="10"/>
    <s v="GSK India"/>
    <s v="CRO0425X"/>
    <d v="2028-01-01T00:00:00"/>
    <n v="10"/>
    <x v="2"/>
  </r>
  <r>
    <x v="69"/>
    <s v="OTC"/>
    <s v="Baljinder Singh"/>
    <n v="25"/>
    <x v="11"/>
    <s v="GSK India"/>
    <s v="ENO0425C"/>
    <d v="2027-08-01T00:00:00"/>
    <n v="250"/>
    <x v="2"/>
  </r>
  <r>
    <x v="69"/>
    <s v="Dr. Amit Narang"/>
    <s v="Naresh Didharia"/>
    <n v="1"/>
    <x v="12"/>
    <s v="Sanofi India"/>
    <s v="BET0425C"/>
    <d v="2026-07-01T00:00:00"/>
    <n v="120"/>
    <x v="2"/>
  </r>
  <r>
    <x v="69"/>
    <s v="Dr. Virender Siwach"/>
    <s v="Mandeep Kumar"/>
    <n v="22"/>
    <x v="13"/>
    <s v="Mankind Pharma"/>
    <s v="ALB0125C"/>
    <d v="2027-03-01T00:00:00"/>
    <n v="440"/>
    <x v="2"/>
  </r>
  <r>
    <x v="69"/>
    <s v="Dr. Geeta Choudhary"/>
    <s v="Sube Ram"/>
    <n v="3"/>
    <x v="14"/>
    <s v="Pfizer India"/>
    <s v="OXY0325C"/>
    <d v="2027-11-01T00:00:00"/>
    <n v="90"/>
    <x v="2"/>
  </r>
  <r>
    <x v="69"/>
    <s v="Dr. Geeta Choudhary"/>
    <s v="Shyam Sunder"/>
    <n v="6"/>
    <x v="15"/>
    <s v="Abbott India"/>
    <s v="ENR0225X"/>
    <d v="2026-08-01T00:00:00"/>
    <n v="240"/>
    <x v="2"/>
  </r>
  <r>
    <x v="70"/>
    <s v="Dr. HC Dahiya"/>
    <s v="Ankit Bhadu"/>
    <n v="22"/>
    <x v="16"/>
    <s v="Sun Pharma"/>
    <s v="IVE0225C"/>
    <d v="2026-06-01T00:00:00"/>
    <n v="1100"/>
    <x v="2"/>
  </r>
  <r>
    <x v="70"/>
    <s v="Dr. Vinay Singla"/>
    <s v="Shyam Sunder"/>
    <n v="22"/>
    <x v="0"/>
    <s v="Cipla"/>
    <s v="PAR1224/25"/>
    <d v="2026-05-01T00:00:00"/>
    <n v="44"/>
    <x v="2"/>
  </r>
  <r>
    <x v="70"/>
    <s v="Dr. Ramphal Dhaka"/>
    <s v="Naseeb Khakhal"/>
    <n v="13"/>
    <x v="1"/>
    <s v="Sun Pharma"/>
    <s v="IBU0325X"/>
    <d v="2028-01-01T00:00:00"/>
    <n v="39"/>
    <x v="2"/>
  </r>
  <r>
    <x v="70"/>
    <s v="OTC"/>
    <s v="Shyam Sunder"/>
    <n v="26"/>
    <x v="2"/>
    <s v="Dr. Reddyâ€™s"/>
    <s v="AMO0225A"/>
    <d v="2026-05-01T00:00:00"/>
    <n v="208"/>
    <x v="2"/>
  </r>
  <r>
    <x v="70"/>
    <s v="Dr. Virender Siwach"/>
    <s v="Umesh Kumar"/>
    <n v="23"/>
    <x v="3"/>
    <s v="Zydus Cadila"/>
    <s v="CET0425X"/>
    <d v="2026-09-01T00:00:00"/>
    <n v="69"/>
    <x v="2"/>
  </r>
  <r>
    <x v="70"/>
    <s v="OTC"/>
    <s v="Umesh Kumar"/>
    <n v="17"/>
    <x v="4"/>
    <s v="Lupin"/>
    <s v="MET0225/25"/>
    <d v="2026-08-01T00:00:00"/>
    <n v="68"/>
    <x v="2"/>
  </r>
  <r>
    <x v="70"/>
    <s v="Dr. Sameer Tuteja"/>
    <s v="Krishan Singh"/>
    <n v="19"/>
    <x v="5"/>
    <s v="Torrent Pharma"/>
    <s v="AML0225C"/>
    <d v="2026-06-01T00:00:00"/>
    <n v="95"/>
    <x v="2"/>
  </r>
  <r>
    <x v="70"/>
    <s v="Dr. Manohar Pahuja"/>
    <s v="Pawan Khakhal"/>
    <n v="12"/>
    <x v="6"/>
    <s v="Alkem Laboratories"/>
    <s v="ATE0125X"/>
    <d v="2026-01-01T00:00:00"/>
    <n v="72"/>
    <x v="2"/>
  </r>
  <r>
    <x v="71"/>
    <s v="Dr. HC Dahiya"/>
    <s v="Mohit Chaberwal"/>
    <n v="27"/>
    <x v="7"/>
    <s v="Cipla"/>
    <s v="SAL0325B"/>
    <d v="2027-04-01T00:00:00"/>
    <n v="108"/>
    <x v="2"/>
  </r>
  <r>
    <x v="71"/>
    <s v="Dr. Geeta Choudhary"/>
    <s v="Sube Ram"/>
    <n v="7"/>
    <x v="8"/>
    <s v="Sun Pharma"/>
    <s v="DOX0225/25"/>
    <d v="2026-12-01T00:00:00"/>
    <n v="70"/>
    <x v="2"/>
  </r>
  <r>
    <x v="71"/>
    <s v="OTC"/>
    <s v="Randhir Fageria"/>
    <n v="13"/>
    <x v="9"/>
    <s v="Mankind Pharma"/>
    <s v="PAN0325/25"/>
    <d v="2027-09-01T00:00:00"/>
    <n v="65"/>
    <x v="2"/>
  </r>
  <r>
    <x v="71"/>
    <s v="OTC"/>
    <s v="Ankit Bhadu"/>
    <n v="30"/>
    <x v="10"/>
    <s v="GSK India"/>
    <s v="CRO1224A"/>
    <d v="2027-06-01T00:00:00"/>
    <n v="60"/>
    <x v="2"/>
  </r>
  <r>
    <x v="71"/>
    <s v="Dr. HC Dahiya"/>
    <s v="Shyam Sunder"/>
    <n v="1"/>
    <x v="11"/>
    <s v="GSK India"/>
    <s v="ENO0125C"/>
    <d v="2027-09-01T00:00:00"/>
    <n v="10"/>
    <x v="2"/>
  </r>
  <r>
    <x v="71"/>
    <s v="Dr. Rajesh Batra"/>
    <s v="Sumitra Devi"/>
    <n v="19"/>
    <x v="12"/>
    <s v="Sanofi India"/>
    <s v="BET0425B"/>
    <d v="2028-02-01T00:00:00"/>
    <n v="2280"/>
    <x v="2"/>
  </r>
  <r>
    <x v="71"/>
    <s v="Dr. Kamaljeet Sambhyl"/>
    <s v="Sanjay Riwar"/>
    <n v="4"/>
    <x v="13"/>
    <s v="Mankind Pharma"/>
    <s v="ALB0425A"/>
    <d v="2026-12-01T00:00:00"/>
    <n v="80"/>
    <x v="2"/>
  </r>
  <r>
    <x v="71"/>
    <s v="Dr. Rajesh Batra"/>
    <s v="Kuldeep Singh"/>
    <n v="3"/>
    <x v="14"/>
    <s v="Pfizer India"/>
    <s v="OXY0125/25"/>
    <d v="2027-05-01T00:00:00"/>
    <n v="90"/>
    <x v="2"/>
  </r>
  <r>
    <x v="72"/>
    <s v="Dr. Rajesh Batra"/>
    <s v="Brijlalal Dhaka"/>
    <n v="12"/>
    <x v="15"/>
    <s v="Abbott India"/>
    <s v="ENR1224A"/>
    <d v="2026-08-01T00:00:00"/>
    <n v="480"/>
    <x v="2"/>
  </r>
  <r>
    <x v="72"/>
    <s v="Dr. Virender Siwach"/>
    <s v="Chander Bhan"/>
    <n v="10"/>
    <x v="16"/>
    <s v="Sun Pharma"/>
    <s v="IVE0325X"/>
    <d v="2026-07-01T00:00:00"/>
    <n v="500"/>
    <x v="2"/>
  </r>
  <r>
    <x v="72"/>
    <s v="Dr. Sameer Tuteja"/>
    <s v="Umesh Kumar"/>
    <n v="29"/>
    <x v="0"/>
    <s v="Cipla"/>
    <s v="PAR0425C"/>
    <d v="2027-11-01T00:00:00"/>
    <n v="58"/>
    <x v="2"/>
  </r>
  <r>
    <x v="72"/>
    <s v="Dr. HC Dahiya"/>
    <s v="Pawan Khakhal"/>
    <n v="7"/>
    <x v="1"/>
    <s v="Sun Pharma"/>
    <s v="IBU0425C"/>
    <d v="2027-11-01T00:00:00"/>
    <n v="21"/>
    <x v="2"/>
  </r>
  <r>
    <x v="72"/>
    <s v="Dr. Anshul Sehgal"/>
    <s v="Randhir Fageria"/>
    <n v="9"/>
    <x v="2"/>
    <s v="Dr. Reddyâ€™s"/>
    <s v="AMO0225/25"/>
    <d v="2027-03-01T00:00:00"/>
    <n v="72"/>
    <x v="2"/>
  </r>
  <r>
    <x v="72"/>
    <s v="OTC"/>
    <s v="Sumit Kumar"/>
    <n v="29"/>
    <x v="3"/>
    <s v="Zydus Cadila"/>
    <s v="CET0425B"/>
    <d v="2027-09-01T00:00:00"/>
    <n v="87"/>
    <x v="2"/>
  </r>
  <r>
    <x v="72"/>
    <s v="OTC"/>
    <s v="Umesh Kumar"/>
    <n v="3"/>
    <x v="4"/>
    <s v="Lupin"/>
    <s v="MET0125B"/>
    <d v="2027-06-01T00:00:00"/>
    <n v="12"/>
    <x v="2"/>
  </r>
  <r>
    <x v="72"/>
    <s v="Dr. Renu Bansal"/>
    <s v="Shishpal Sharma"/>
    <n v="5"/>
    <x v="5"/>
    <s v="Torrent Pharma"/>
    <s v="AML1224A"/>
    <d v="2027-09-01T00:00:00"/>
    <n v="25"/>
    <x v="2"/>
  </r>
  <r>
    <x v="73"/>
    <s v="OTC"/>
    <s v="Yogesh Khicher"/>
    <n v="19"/>
    <x v="6"/>
    <s v="Alkem Laboratories"/>
    <s v="ATE0225X"/>
    <d v="2027-09-01T00:00:00"/>
    <n v="114"/>
    <x v="2"/>
  </r>
  <r>
    <x v="73"/>
    <s v="Dr. Geeta Choudhary"/>
    <s v="Tamanna Dhaka"/>
    <n v="9"/>
    <x v="7"/>
    <s v="Cipla"/>
    <s v="SAL0125C"/>
    <d v="2026-09-01T00:00:00"/>
    <n v="36"/>
    <x v="2"/>
  </r>
  <r>
    <x v="73"/>
    <s v="OTC"/>
    <s v="Randhir Fageria"/>
    <n v="16"/>
    <x v="8"/>
    <s v="Sun Pharma"/>
    <s v="DOX0325C"/>
    <d v="2026-12-01T00:00:00"/>
    <n v="160"/>
    <x v="2"/>
  </r>
  <r>
    <x v="73"/>
    <s v="Dr. Renu Bansal"/>
    <s v="Hari Singh"/>
    <n v="20"/>
    <x v="9"/>
    <s v="Mankind Pharma"/>
    <s v="PAN0325X"/>
    <d v="2026-04-01T00:00:00"/>
    <n v="100"/>
    <x v="2"/>
  </r>
  <r>
    <x v="73"/>
    <s v="Dr. Rajesh Batra"/>
    <s v="Naseeb Khakhal"/>
    <n v="26"/>
    <x v="10"/>
    <s v="GSK India"/>
    <s v="CRO0325X"/>
    <d v="2026-06-01T00:00:00"/>
    <n v="52"/>
    <x v="2"/>
  </r>
  <r>
    <x v="73"/>
    <s v="Dr. Satbir Khumber"/>
    <s v="Naseeb Khakhal"/>
    <n v="7"/>
    <x v="11"/>
    <s v="GSK India"/>
    <s v="ENO0125B"/>
    <d v="2027-10-01T00:00:00"/>
    <n v="70"/>
    <x v="2"/>
  </r>
  <r>
    <x v="73"/>
    <s v="Dr. Manohar Pahuja"/>
    <s v="Amar Burdak"/>
    <n v="10"/>
    <x v="12"/>
    <s v="Sanofi India"/>
    <s v="BET0325B"/>
    <d v="2026-08-01T00:00:00"/>
    <n v="1200"/>
    <x v="2"/>
  </r>
  <r>
    <x v="73"/>
    <s v="OTC"/>
    <s v="Santosh Rani"/>
    <n v="18"/>
    <x v="13"/>
    <s v="Mankind Pharma"/>
    <s v="ALB0425A"/>
    <d v="2027-11-01T00:00:00"/>
    <n v="360"/>
    <x v="2"/>
  </r>
  <r>
    <x v="74"/>
    <s v="Dr. Sameer Tuteja"/>
    <s v="Shishpal Sharma"/>
    <n v="23"/>
    <x v="14"/>
    <s v="Pfizer India"/>
    <s v="OXY0125X"/>
    <d v="2026-08-01T00:00:00"/>
    <n v="690"/>
    <x v="2"/>
  </r>
  <r>
    <x v="74"/>
    <s v="OTC"/>
    <s v="Dinesh Sharma"/>
    <n v="8"/>
    <x v="15"/>
    <s v="Abbott India"/>
    <s v="ENR0225A"/>
    <d v="2026-12-01T00:00:00"/>
    <n v="320"/>
    <x v="2"/>
  </r>
  <r>
    <x v="74"/>
    <s v="Dr. Manohar Pahuja"/>
    <s v="Shishpal Sharma"/>
    <n v="30"/>
    <x v="16"/>
    <s v="Sun Pharma"/>
    <s v="IVE0225B"/>
    <d v="2027-11-01T00:00:00"/>
    <n v="1500"/>
    <x v="2"/>
  </r>
  <r>
    <x v="74"/>
    <s v="Dr. Virender Siwach"/>
    <s v="Naseeb Khakhal"/>
    <n v="17"/>
    <x v="0"/>
    <s v="Cipla"/>
    <s v="PAR0325B"/>
    <d v="2027-02-01T00:00:00"/>
    <n v="34"/>
    <x v="2"/>
  </r>
  <r>
    <x v="74"/>
    <s v="Dr. Satbir Khumber"/>
    <s v="Naseeb Khakhal"/>
    <n v="20"/>
    <x v="1"/>
    <s v="Sun Pharma"/>
    <s v="IBU0325A"/>
    <d v="2026-07-01T00:00:00"/>
    <n v="60"/>
    <x v="2"/>
  </r>
  <r>
    <x v="74"/>
    <s v="OTC"/>
    <s v="Santosh Rani"/>
    <n v="10"/>
    <x v="2"/>
    <s v="Dr. Reddyâ€™s"/>
    <s v="AMO1224B"/>
    <d v="2027-03-01T00:00:00"/>
    <n v="80"/>
    <x v="2"/>
  </r>
  <r>
    <x v="74"/>
    <s v="OTC"/>
    <s v="Pawan Khakhal"/>
    <n v="10"/>
    <x v="3"/>
    <s v="Zydus Cadila"/>
    <s v="CET0225/25"/>
    <d v="2027-05-01T00:00:00"/>
    <n v="30"/>
    <x v="2"/>
  </r>
  <r>
    <x v="74"/>
    <s v="Dr. Ramphal Dhaka"/>
    <s v="Balbir Fageria"/>
    <n v="2"/>
    <x v="4"/>
    <s v="Lupin"/>
    <s v="MET0425B"/>
    <d v="2028-03-01T00:00:00"/>
    <n v="8"/>
    <x v="2"/>
  </r>
  <r>
    <x v="75"/>
    <s v="Dr. Satbir Khumber"/>
    <s v="Sanjay Riwar"/>
    <n v="1"/>
    <x v="5"/>
    <s v="Torrent Pharma"/>
    <s v="AML0225C"/>
    <d v="2028-02-01T00:00:00"/>
    <n v="5"/>
    <x v="2"/>
  </r>
  <r>
    <x v="75"/>
    <s v="Dr. Satbir Khumber"/>
    <s v="Balbir Fageria"/>
    <n v="19"/>
    <x v="6"/>
    <s v="Alkem Laboratories"/>
    <s v="ATE0225C"/>
    <d v="2028-01-01T00:00:00"/>
    <n v="114"/>
    <x v="2"/>
  </r>
  <r>
    <x v="75"/>
    <s v="Dr. Virender Siwach"/>
    <s v="Mohit Chaberwal"/>
    <n v="10"/>
    <x v="7"/>
    <s v="Cipla"/>
    <s v="SAL1224A"/>
    <d v="2026-10-01T00:00:00"/>
    <n v="40"/>
    <x v="2"/>
  </r>
  <r>
    <x v="75"/>
    <s v="Dr. HC Dahiya"/>
    <s v="Sanjay Riwar"/>
    <n v="14"/>
    <x v="8"/>
    <s v="Sun Pharma"/>
    <s v="DOX0425/25"/>
    <d v="2026-06-01T00:00:00"/>
    <n v="140"/>
    <x v="2"/>
  </r>
  <r>
    <x v="75"/>
    <s v="OTC"/>
    <s v="Brijlalal Dhaka"/>
    <n v="20"/>
    <x v="9"/>
    <s v="Mankind Pharma"/>
    <s v="PAN1224/25"/>
    <d v="2027-10-01T00:00:00"/>
    <n v="100"/>
    <x v="2"/>
  </r>
  <r>
    <x v="75"/>
    <s v="Dr. Geeta Choudhary"/>
    <s v="Kuldeep Singh"/>
    <n v="29"/>
    <x v="10"/>
    <s v="GSK India"/>
    <s v="CRO0425A"/>
    <d v="2028-03-01T00:00:00"/>
    <n v="58"/>
    <x v="2"/>
  </r>
  <r>
    <x v="75"/>
    <s v="Dr. Satbir Khumber"/>
    <s v="Chander Bhan"/>
    <n v="7"/>
    <x v="11"/>
    <s v="GSK India"/>
    <s v="ENO1224/25"/>
    <d v="2026-12-01T00:00:00"/>
    <n v="70"/>
    <x v="2"/>
  </r>
  <r>
    <x v="75"/>
    <s v="OTC"/>
    <s v="Amar Burdak"/>
    <n v="19"/>
    <x v="12"/>
    <s v="Sanofi India"/>
    <s v="BET1224C"/>
    <d v="2026-07-01T00:00:00"/>
    <n v="2280"/>
    <x v="2"/>
  </r>
  <r>
    <x v="76"/>
    <s v="Dr. Anshul Sehgal"/>
    <s v="Ramkla Devi"/>
    <n v="18"/>
    <x v="13"/>
    <s v="Mankind Pharma"/>
    <s v="ALB0125B"/>
    <d v="2026-10-01T00:00:00"/>
    <n v="360"/>
    <x v="2"/>
  </r>
  <r>
    <x v="76"/>
    <s v="Dr. Vinay Singla"/>
    <s v="Ram Kumar"/>
    <n v="25"/>
    <x v="14"/>
    <s v="Pfizer India"/>
    <s v="OXY0325A"/>
    <d v="2027-02-01T00:00:00"/>
    <n v="750"/>
    <x v="2"/>
  </r>
  <r>
    <x v="76"/>
    <s v="Dr. Rajesh Batra"/>
    <s v="Ravi Dhaka"/>
    <n v="1"/>
    <x v="15"/>
    <s v="Abbott India"/>
    <s v="ENR0125A"/>
    <d v="2026-04-01T00:00:00"/>
    <n v="40"/>
    <x v="2"/>
  </r>
  <r>
    <x v="76"/>
    <s v="Dr. Anshul Sehgal"/>
    <s v="Ram Kumar"/>
    <n v="18"/>
    <x v="16"/>
    <s v="Sun Pharma"/>
    <s v="IVE0125X"/>
    <d v="2027-10-01T00:00:00"/>
    <n v="900"/>
    <x v="2"/>
  </r>
  <r>
    <x v="76"/>
    <s v="Dr. Renu Bansal"/>
    <s v="Sube Ram"/>
    <n v="1"/>
    <x v="0"/>
    <s v="Cipla"/>
    <s v="PAR0425A"/>
    <d v="2026-11-01T00:00:00"/>
    <n v="2"/>
    <x v="2"/>
  </r>
  <r>
    <x v="76"/>
    <s v="OTC"/>
    <s v="Sumit Kumar"/>
    <n v="16"/>
    <x v="1"/>
    <s v="Sun Pharma"/>
    <s v="IBU0325B"/>
    <d v="2027-10-01T00:00:00"/>
    <n v="48"/>
    <x v="2"/>
  </r>
  <r>
    <x v="76"/>
    <s v="Dr. Manohar Pahuja"/>
    <s v="Baljinder Singh"/>
    <n v="28"/>
    <x v="2"/>
    <s v="Dr. Reddyâ€™s"/>
    <s v="AMO1224A"/>
    <d v="2027-04-01T00:00:00"/>
    <n v="224"/>
    <x v="2"/>
  </r>
  <r>
    <x v="76"/>
    <s v="Dr. Renu Bansal"/>
    <s v="Sita Ram"/>
    <n v="23"/>
    <x v="3"/>
    <s v="Zydus Cadila"/>
    <s v="CET0125/25"/>
    <d v="2026-10-01T00:00:00"/>
    <n v="69"/>
    <x v="2"/>
  </r>
  <r>
    <x v="77"/>
    <s v="Dr. Amit Narang"/>
    <s v="Umesh Kumar"/>
    <n v="1"/>
    <x v="4"/>
    <s v="Lupin"/>
    <s v="MET1224A"/>
    <d v="2027-11-01T00:00:00"/>
    <n v="4"/>
    <x v="2"/>
  </r>
  <r>
    <x v="77"/>
    <s v="Dr. Satbir Khumber"/>
    <s v="Sanjay Riwar"/>
    <n v="17"/>
    <x v="5"/>
    <s v="Torrent Pharma"/>
    <s v="AML0425/25"/>
    <d v="2026-05-01T00:00:00"/>
    <n v="85"/>
    <x v="2"/>
  </r>
  <r>
    <x v="77"/>
    <s v="Dr. Ramphal Dhaka"/>
    <s v="Mandeep Kumar"/>
    <n v="7"/>
    <x v="6"/>
    <s v="Alkem Laboratories"/>
    <s v="ATE0225A"/>
    <d v="2026-12-01T00:00:00"/>
    <n v="42"/>
    <x v="2"/>
  </r>
  <r>
    <x v="77"/>
    <s v="Dr. Anshul Sehgal"/>
    <s v="Yogesh Khicher"/>
    <n v="7"/>
    <x v="7"/>
    <s v="Cipla"/>
    <s v="SAL0425B"/>
    <d v="2027-03-01T00:00:00"/>
    <n v="28"/>
    <x v="2"/>
  </r>
  <r>
    <x v="77"/>
    <s v="Dr. Vinay Singla"/>
    <s v="Kuldeep Singh"/>
    <n v="11"/>
    <x v="8"/>
    <s v="Sun Pharma"/>
    <s v="DOX0225X"/>
    <d v="2027-11-01T00:00:00"/>
    <n v="110"/>
    <x v="2"/>
  </r>
  <r>
    <x v="77"/>
    <s v="Dr. Ramphal Dhaka"/>
    <s v="Randhir Fageria"/>
    <n v="24"/>
    <x v="9"/>
    <s v="Mankind Pharma"/>
    <s v="PAN1224X"/>
    <d v="2027-09-01T00:00:00"/>
    <n v="120"/>
    <x v="2"/>
  </r>
  <r>
    <x v="77"/>
    <s v="Dr. Manohar Pahuja"/>
    <s v="Manisha Rani"/>
    <n v="6"/>
    <x v="10"/>
    <s v="GSK India"/>
    <s v="CRO0225C"/>
    <d v="2027-05-01T00:00:00"/>
    <n v="12"/>
    <x v="2"/>
  </r>
  <r>
    <x v="77"/>
    <s v="Dr. Ramphal Dhaka"/>
    <s v="Ram Kumar"/>
    <n v="21"/>
    <x v="11"/>
    <s v="GSK India"/>
    <s v="ENO0225A"/>
    <d v="2027-06-01T00:00:00"/>
    <n v="210"/>
    <x v="2"/>
  </r>
  <r>
    <x v="78"/>
    <s v="Dr. Rajesh Batra"/>
    <s v="Kuldeep Singh"/>
    <n v="8"/>
    <x v="12"/>
    <s v="Sanofi India"/>
    <s v="BET1224B"/>
    <d v="2027-07-01T00:00:00"/>
    <n v="960"/>
    <x v="2"/>
  </r>
  <r>
    <x v="78"/>
    <s v="Dr. Amit Narang"/>
    <s v="Ram Kumar"/>
    <n v="29"/>
    <x v="13"/>
    <s v="Mankind Pharma"/>
    <s v="ALB0325X"/>
    <d v="2026-08-01T00:00:00"/>
    <n v="580"/>
    <x v="2"/>
  </r>
  <r>
    <x v="78"/>
    <s v="OTC"/>
    <s v="Shyam Sunder"/>
    <n v="12"/>
    <x v="14"/>
    <s v="Pfizer India"/>
    <s v="OXY1224B"/>
    <d v="2025-12-01T00:00:00"/>
    <n v="360"/>
    <x v="2"/>
  </r>
  <r>
    <x v="78"/>
    <s v="OTC"/>
    <s v="Raman Dhaka"/>
    <n v="3"/>
    <x v="15"/>
    <s v="Abbott India"/>
    <s v="ENR0125A"/>
    <d v="2026-09-01T00:00:00"/>
    <n v="120"/>
    <x v="2"/>
  </r>
  <r>
    <x v="78"/>
    <s v="Dr. Amit Narang"/>
    <s v="Pawan Khakhal"/>
    <n v="8"/>
    <x v="16"/>
    <s v="Sun Pharma"/>
    <s v="IVE0325B"/>
    <d v="2027-06-01T00:00:00"/>
    <n v="400"/>
    <x v="2"/>
  </r>
  <r>
    <x v="78"/>
    <s v="Dr. Virender Siwach"/>
    <s v="Sumitra Devi"/>
    <n v="21"/>
    <x v="0"/>
    <s v="Cipla"/>
    <s v="PAR0425C"/>
    <d v="2027-11-01T00:00:00"/>
    <n v="42"/>
    <x v="2"/>
  </r>
  <r>
    <x v="78"/>
    <s v="Dr. Kamaljeet Sambhyl"/>
    <s v="Hari Singh"/>
    <n v="14"/>
    <x v="1"/>
    <s v="Sun Pharma"/>
    <s v="IBU0125X"/>
    <d v="2027-06-01T00:00:00"/>
    <n v="42"/>
    <x v="2"/>
  </r>
  <r>
    <x v="78"/>
    <s v="Dr. HC Dahiya"/>
    <s v="Brijlalal Dhaka"/>
    <n v="30"/>
    <x v="2"/>
    <s v="Dr. Reddyâ€™s"/>
    <s v="AMO0125A"/>
    <d v="2026-06-01T00:00:00"/>
    <n v="240"/>
    <x v="2"/>
  </r>
  <r>
    <x v="79"/>
    <s v="OTC"/>
    <s v="Sahil Chundwal"/>
    <n v="14"/>
    <x v="3"/>
    <s v="Zydus Cadila"/>
    <s v="CET0325A"/>
    <d v="2027-01-01T00:00:00"/>
    <n v="42"/>
    <x v="2"/>
  </r>
  <r>
    <x v="79"/>
    <s v="OTC"/>
    <s v="Amit Dhaka"/>
    <n v="19"/>
    <x v="4"/>
    <s v="Lupin"/>
    <s v="MET0325B"/>
    <d v="2026-05-01T00:00:00"/>
    <n v="76"/>
    <x v="2"/>
  </r>
  <r>
    <x v="79"/>
    <s v="Dr. Vinay Singla"/>
    <s v="Mohit Chaberwal"/>
    <n v="9"/>
    <x v="5"/>
    <s v="Torrent Pharma"/>
    <s v="AML0125/25"/>
    <d v="2027-04-01T00:00:00"/>
    <n v="45"/>
    <x v="2"/>
  </r>
  <r>
    <x v="79"/>
    <s v="OTC"/>
    <s v="Mohit Chaberwal"/>
    <n v="3"/>
    <x v="6"/>
    <s v="Alkem Laboratories"/>
    <s v="ATE0125C"/>
    <d v="2026-10-01T00:00:00"/>
    <n v="18"/>
    <x v="2"/>
  </r>
  <r>
    <x v="79"/>
    <s v="Dr. Satbir Khumber"/>
    <s v="Naseeb Khakhal"/>
    <n v="19"/>
    <x v="7"/>
    <s v="Cipla"/>
    <s v="SAL0225/25"/>
    <d v="2026-10-01T00:00:00"/>
    <n v="76"/>
    <x v="2"/>
  </r>
  <r>
    <x v="79"/>
    <s v="OTC"/>
    <s v="Ravi Dhaka"/>
    <n v="28"/>
    <x v="8"/>
    <s v="Sun Pharma"/>
    <s v="DOX0125/25"/>
    <d v="2026-09-01T00:00:00"/>
    <n v="280"/>
    <x v="2"/>
  </r>
  <r>
    <x v="79"/>
    <s v="OTC"/>
    <s v="Raman Dhaka"/>
    <n v="10"/>
    <x v="9"/>
    <s v="Mankind Pharma"/>
    <s v="PAN0325A"/>
    <d v="2027-11-01T00:00:00"/>
    <n v="50"/>
    <x v="2"/>
  </r>
  <r>
    <x v="79"/>
    <s v="OTC"/>
    <s v="Pawan Khakhal"/>
    <n v="19"/>
    <x v="10"/>
    <s v="GSK India"/>
    <s v="CRO1224A"/>
    <d v="2027-08-01T00:00:00"/>
    <n v="38"/>
    <x v="2"/>
  </r>
  <r>
    <x v="80"/>
    <s v="Dr. Kamaljeet Sambhyl"/>
    <s v="Mohit Chaberwal"/>
    <n v="26"/>
    <x v="11"/>
    <s v="GSK India"/>
    <s v="ENO0125/25"/>
    <d v="2026-01-01T00:00:00"/>
    <n v="260"/>
    <x v="2"/>
  </r>
  <r>
    <x v="80"/>
    <s v="OTC"/>
    <s v="Randhir Fageria"/>
    <n v="16"/>
    <x v="12"/>
    <s v="Sanofi India"/>
    <s v="BET1224X"/>
    <d v="2026-09-01T00:00:00"/>
    <n v="1920"/>
    <x v="2"/>
  </r>
  <r>
    <x v="80"/>
    <s v="Dr. Kamaljeet Sambhyl"/>
    <s v="Ramkla Devi"/>
    <n v="4"/>
    <x v="13"/>
    <s v="Mankind Pharma"/>
    <s v="ALB0225X"/>
    <d v="2026-02-01T00:00:00"/>
    <n v="80"/>
    <x v="2"/>
  </r>
  <r>
    <x v="80"/>
    <s v="Dr. Anshul Sehgal"/>
    <s v="Amar Burdak"/>
    <n v="16"/>
    <x v="14"/>
    <s v="Pfizer India"/>
    <s v="OXY0325B"/>
    <d v="2027-04-01T00:00:00"/>
    <n v="480"/>
    <x v="2"/>
  </r>
  <r>
    <x v="80"/>
    <s v="Dr. Sameer Tuteja"/>
    <s v="Kuldeep Singh"/>
    <n v="14"/>
    <x v="15"/>
    <s v="Abbott India"/>
    <s v="ENR0225B"/>
    <d v="2026-09-01T00:00:00"/>
    <n v="560"/>
    <x v="2"/>
  </r>
  <r>
    <x v="80"/>
    <s v="Dr. Satbir Khumber"/>
    <s v="Mandeep Kumar"/>
    <n v="24"/>
    <x v="16"/>
    <s v="Sun Pharma"/>
    <s v="IVE1224A"/>
    <d v="2025-12-01T00:00:00"/>
    <n v="1200"/>
    <x v="2"/>
  </r>
  <r>
    <x v="80"/>
    <s v="OTC"/>
    <s v="Mandeep Kumar"/>
    <n v="19"/>
    <x v="0"/>
    <s v="Cipla"/>
    <s v="PAR0225C"/>
    <d v="2026-03-01T00:00:00"/>
    <n v="38"/>
    <x v="2"/>
  </r>
  <r>
    <x v="80"/>
    <s v="Dr. HC Dahiya"/>
    <s v="Baljinder Singh"/>
    <n v="8"/>
    <x v="1"/>
    <s v="Sun Pharma"/>
    <s v="IBU0325C"/>
    <d v="2027-03-01T00:00:00"/>
    <n v="24"/>
    <x v="2"/>
  </r>
  <r>
    <x v="81"/>
    <s v="Dr. Vinay Singla"/>
    <s v="Mohit Chaberwal"/>
    <n v="9"/>
    <x v="2"/>
    <s v="Dr. Reddyâ€™s"/>
    <s v="AMO1224X"/>
    <d v="2026-09-01T00:00:00"/>
    <n v="72"/>
    <x v="2"/>
  </r>
  <r>
    <x v="81"/>
    <s v="OTC"/>
    <s v="Ramkla Devi"/>
    <n v="18"/>
    <x v="3"/>
    <s v="Zydus Cadila"/>
    <s v="CET0325A"/>
    <d v="2028-01-01T00:00:00"/>
    <n v="54"/>
    <x v="2"/>
  </r>
  <r>
    <x v="81"/>
    <s v="Dr. Anshul Sehgal"/>
    <s v="Kuldeep Singh"/>
    <n v="17"/>
    <x v="4"/>
    <s v="Lupin"/>
    <s v="MET0125A"/>
    <d v="2026-06-01T00:00:00"/>
    <n v="68"/>
    <x v="2"/>
  </r>
  <r>
    <x v="81"/>
    <s v="Dr. Anshul Sehgal"/>
    <s v="Dinesh Sharma"/>
    <n v="3"/>
    <x v="5"/>
    <s v="Torrent Pharma"/>
    <s v="AML0125B"/>
    <d v="2026-09-01T00:00:00"/>
    <n v="15"/>
    <x v="2"/>
  </r>
  <r>
    <x v="81"/>
    <s v="Dr. Manohar Pahuja"/>
    <s v="Ravi Dhaka"/>
    <n v="15"/>
    <x v="6"/>
    <s v="Alkem Laboratories"/>
    <s v="ATE0125A"/>
    <d v="2026-07-01T00:00:00"/>
    <n v="90"/>
    <x v="2"/>
  </r>
  <r>
    <x v="81"/>
    <s v="OTC"/>
    <s v="Balbir Fageria"/>
    <n v="8"/>
    <x v="7"/>
    <s v="Cipla"/>
    <s v="SAL0325/25"/>
    <d v="2026-04-01T00:00:00"/>
    <n v="32"/>
    <x v="2"/>
  </r>
  <r>
    <x v="81"/>
    <s v="OTC"/>
    <s v="Ankit Bhadu"/>
    <n v="11"/>
    <x v="8"/>
    <s v="Sun Pharma"/>
    <s v="DOX0425/25"/>
    <d v="2027-01-01T00:00:00"/>
    <n v="110"/>
    <x v="2"/>
  </r>
  <r>
    <x v="81"/>
    <s v="Dr. Virender Siwach"/>
    <s v="Mandeep Kumar"/>
    <n v="23"/>
    <x v="9"/>
    <s v="Mankind Pharma"/>
    <s v="PAN0425A"/>
    <d v="2027-09-01T00:00:00"/>
    <n v="115"/>
    <x v="2"/>
  </r>
  <r>
    <x v="82"/>
    <s v="OTC"/>
    <s v="Randhir Fageria"/>
    <n v="8"/>
    <x v="10"/>
    <s v="GSK India"/>
    <s v="CRO0225C"/>
    <d v="2026-11-01T00:00:00"/>
    <n v="16"/>
    <x v="2"/>
  </r>
  <r>
    <x v="82"/>
    <s v="Dr. Kamaljeet Sambhyl"/>
    <s v="Tamanna Dhaka"/>
    <n v="21"/>
    <x v="11"/>
    <s v="GSK India"/>
    <s v="ENO1224A"/>
    <d v="2027-10-01T00:00:00"/>
    <n v="210"/>
    <x v="2"/>
  </r>
  <r>
    <x v="82"/>
    <s v="Dr. Satbir Khumber"/>
    <s v="Manisha Rani"/>
    <n v="23"/>
    <x v="12"/>
    <s v="Sanofi India"/>
    <s v="BET1224/25"/>
    <d v="2027-08-01T00:00:00"/>
    <n v="2760"/>
    <x v="2"/>
  </r>
  <r>
    <x v="82"/>
    <s v="Dr. Amit Narang"/>
    <s v="Sube Ram"/>
    <n v="16"/>
    <x v="13"/>
    <s v="Mankind Pharma"/>
    <s v="ALB0325A"/>
    <d v="2027-05-01T00:00:00"/>
    <n v="320"/>
    <x v="2"/>
  </r>
  <r>
    <x v="82"/>
    <s v="Dr. Amit Narang"/>
    <s v="Mohit Chaberwal"/>
    <n v="10"/>
    <x v="14"/>
    <s v="Pfizer India"/>
    <s v="OXY1224X"/>
    <d v="2027-09-01T00:00:00"/>
    <n v="300"/>
    <x v="2"/>
  </r>
  <r>
    <x v="82"/>
    <s v="Dr. Sameer Tuteja"/>
    <s v="Naresh Didharia"/>
    <n v="6"/>
    <x v="15"/>
    <s v="Abbott India"/>
    <s v="ENR0225/25"/>
    <d v="2026-08-01T00:00:00"/>
    <n v="240"/>
    <x v="2"/>
  </r>
  <r>
    <x v="82"/>
    <s v="Dr. Virender Siwach"/>
    <s v="Shyam Sunder"/>
    <n v="2"/>
    <x v="16"/>
    <s v="Sun Pharma"/>
    <s v="IVE0325B"/>
    <d v="2026-04-01T00:00:00"/>
    <n v="100"/>
    <x v="2"/>
  </r>
  <r>
    <x v="82"/>
    <s v="OTC"/>
    <s v="Amar Burdak"/>
    <n v="29"/>
    <x v="0"/>
    <s v="Cipla"/>
    <s v="PAR0325C"/>
    <d v="2026-06-01T00:00:00"/>
    <n v="58"/>
    <x v="2"/>
  </r>
  <r>
    <x v="83"/>
    <s v="Dr. Anshul Sehgal"/>
    <s v="Tamanna Dhaka"/>
    <n v="7"/>
    <x v="1"/>
    <s v="Sun Pharma"/>
    <s v="IBU1224C"/>
    <d v="2027-08-01T00:00:00"/>
    <n v="21"/>
    <x v="2"/>
  </r>
  <r>
    <x v="83"/>
    <s v="Dr. Kamaljeet Sambhyl"/>
    <s v="Yogesh Khicher"/>
    <n v="4"/>
    <x v="2"/>
    <s v="Dr. Reddyâ€™s"/>
    <s v="AMO1224B"/>
    <d v="2026-10-01T00:00:00"/>
    <n v="32"/>
    <x v="2"/>
  </r>
  <r>
    <x v="83"/>
    <s v="Dr. Vinay Singla"/>
    <s v="Amit Dhaka"/>
    <n v="14"/>
    <x v="3"/>
    <s v="Zydus Cadila"/>
    <s v="CET0225X"/>
    <d v="2027-12-01T00:00:00"/>
    <n v="42"/>
    <x v="2"/>
  </r>
  <r>
    <x v="83"/>
    <s v="Dr. Virender Siwach"/>
    <s v="Naresh Didharia"/>
    <n v="30"/>
    <x v="4"/>
    <s v="Lupin"/>
    <s v="MET0325A"/>
    <d v="2027-07-01T00:00:00"/>
    <n v="120"/>
    <x v="2"/>
  </r>
  <r>
    <x v="83"/>
    <s v="OTC"/>
    <s v="Baljinder Singh"/>
    <n v="24"/>
    <x v="5"/>
    <s v="Torrent Pharma"/>
    <s v="AML0225/25"/>
    <d v="2028-01-01T00:00:00"/>
    <n v="120"/>
    <x v="2"/>
  </r>
  <r>
    <x v="83"/>
    <s v="Dr. Anshul Sehgal"/>
    <s v="Radhe Shaym"/>
    <n v="29"/>
    <x v="6"/>
    <s v="Alkem Laboratories"/>
    <s v="ATE0325/25"/>
    <d v="2026-08-01T00:00:00"/>
    <n v="174"/>
    <x v="2"/>
  </r>
  <r>
    <x v="83"/>
    <s v="OTC"/>
    <s v="Baljinder Singh"/>
    <n v="10"/>
    <x v="7"/>
    <s v="Cipla"/>
    <s v="SAL0125A"/>
    <d v="2027-11-01T00:00:00"/>
    <n v="40"/>
    <x v="2"/>
  </r>
  <r>
    <x v="83"/>
    <s v="Dr. HC Dahiya"/>
    <s v="Tamanna Dhaka"/>
    <n v="15"/>
    <x v="8"/>
    <s v="Sun Pharma"/>
    <s v="DOX0325C"/>
    <d v="2027-06-01T00:00:00"/>
    <n v="150"/>
    <x v="2"/>
  </r>
  <r>
    <x v="84"/>
    <s v="Dr. Geeta Choudhary"/>
    <s v="Sita Ram"/>
    <n v="29"/>
    <x v="9"/>
    <s v="Mankind Pharma"/>
    <s v="PAN0325/25"/>
    <d v="2027-02-01T00:00:00"/>
    <n v="145"/>
    <x v="2"/>
  </r>
  <r>
    <x v="84"/>
    <s v="OTC"/>
    <s v="Sube Ram"/>
    <n v="18"/>
    <x v="10"/>
    <s v="GSK India"/>
    <s v="CRO0225C"/>
    <d v="2027-04-01T00:00:00"/>
    <n v="36"/>
    <x v="2"/>
  </r>
  <r>
    <x v="84"/>
    <s v="Dr. Kamaljeet Sambhyl"/>
    <s v="Ramkla Devi"/>
    <n v="1"/>
    <x v="11"/>
    <s v="GSK India"/>
    <s v="ENO0125/25"/>
    <d v="2026-03-01T00:00:00"/>
    <n v="10"/>
    <x v="2"/>
  </r>
  <r>
    <x v="84"/>
    <s v="OTC"/>
    <s v="Manisha Rani"/>
    <n v="6"/>
    <x v="12"/>
    <s v="Sanofi India"/>
    <s v="BET1224A"/>
    <d v="2026-06-01T00:00:00"/>
    <n v="720"/>
    <x v="2"/>
  </r>
  <r>
    <x v="84"/>
    <s v="Dr. Kamaljeet Sambhyl"/>
    <s v="Tamanna Dhaka"/>
    <n v="9"/>
    <x v="13"/>
    <s v="Mankind Pharma"/>
    <s v="ALB0325A"/>
    <d v="2027-03-01T00:00:00"/>
    <n v="180"/>
    <x v="2"/>
  </r>
  <r>
    <x v="84"/>
    <s v="Dr. Ramphal Dhaka"/>
    <s v="Mandeep Kumar"/>
    <n v="21"/>
    <x v="14"/>
    <s v="Pfizer India"/>
    <s v="OXY0425X"/>
    <d v="2027-12-01T00:00:00"/>
    <n v="630"/>
    <x v="2"/>
  </r>
  <r>
    <x v="84"/>
    <s v="OTC"/>
    <s v="Hari Singh"/>
    <n v="9"/>
    <x v="15"/>
    <s v="Abbott India"/>
    <s v="ENR1224A"/>
    <d v="2027-09-01T00:00:00"/>
    <n v="360"/>
    <x v="2"/>
  </r>
  <r>
    <x v="84"/>
    <s v="Dr. Renu Bansal"/>
    <s v="Mandeep Kumar"/>
    <n v="17"/>
    <x v="16"/>
    <s v="Sun Pharma"/>
    <s v="IVE0425C"/>
    <d v="2027-03-01T00:00:00"/>
    <n v="850"/>
    <x v="2"/>
  </r>
  <r>
    <x v="85"/>
    <s v="Dr. HC Dahiya"/>
    <s v="Tamanna Dhaka"/>
    <n v="4"/>
    <x v="0"/>
    <s v="Cipla"/>
    <s v="PAR1224B"/>
    <d v="2027-08-01T00:00:00"/>
    <n v="8"/>
    <x v="2"/>
  </r>
  <r>
    <x v="85"/>
    <s v="Dr. Ramphal Dhaka"/>
    <s v="Mandeep Kumar"/>
    <n v="8"/>
    <x v="1"/>
    <s v="Sun Pharma"/>
    <s v="IBU0125C"/>
    <d v="2026-05-01T00:00:00"/>
    <n v="24"/>
    <x v="2"/>
  </r>
  <r>
    <x v="85"/>
    <s v="Dr. Rajesh Batra"/>
    <s v="Sahil Chundwal"/>
    <n v="17"/>
    <x v="2"/>
    <s v="Dr. Reddyâ€™s"/>
    <s v="AMO1224X"/>
    <d v="2027-07-01T00:00:00"/>
    <n v="136"/>
    <x v="2"/>
  </r>
  <r>
    <x v="85"/>
    <s v="Dr. Rajesh Batra"/>
    <s v="Ankit Bhadu"/>
    <n v="24"/>
    <x v="3"/>
    <s v="Zydus Cadila"/>
    <s v="CET0225A"/>
    <d v="2027-11-01T00:00:00"/>
    <n v="72"/>
    <x v="2"/>
  </r>
  <r>
    <x v="85"/>
    <s v="Dr. Manohar Pahuja"/>
    <s v="Ravi Dhaka"/>
    <n v="3"/>
    <x v="4"/>
    <s v="Lupin"/>
    <s v="MET1224C"/>
    <d v="2026-08-01T00:00:00"/>
    <n v="12"/>
    <x v="2"/>
  </r>
  <r>
    <x v="85"/>
    <s v="OTC"/>
    <s v="Ravi Dhaka"/>
    <n v="10"/>
    <x v="5"/>
    <s v="Torrent Pharma"/>
    <s v="AML0225B"/>
    <d v="2026-11-01T00:00:00"/>
    <n v="50"/>
    <x v="2"/>
  </r>
  <r>
    <x v="85"/>
    <s v="Dr. Virender Siwach"/>
    <s v="Mandeep Kumar"/>
    <n v="23"/>
    <x v="6"/>
    <s v="Alkem Laboratories"/>
    <s v="ATE0125/25"/>
    <d v="2026-09-01T00:00:00"/>
    <n v="138"/>
    <x v="2"/>
  </r>
  <r>
    <x v="85"/>
    <s v="OTC"/>
    <s v="Manisha Rani"/>
    <n v="16"/>
    <x v="7"/>
    <s v="Cipla"/>
    <s v="SAL0425C"/>
    <d v="2026-10-01T00:00:00"/>
    <n v="64"/>
    <x v="2"/>
  </r>
  <r>
    <x v="86"/>
    <s v="Dr. Virender Siwach"/>
    <s v="Tamanna Dhaka"/>
    <n v="12"/>
    <x v="8"/>
    <s v="Sun Pharma"/>
    <s v="DOX1224A"/>
    <d v="2027-02-01T00:00:00"/>
    <n v="120"/>
    <x v="2"/>
  </r>
  <r>
    <x v="86"/>
    <s v="Dr. Renu Bansal"/>
    <s v="Sumitra Devi"/>
    <n v="16"/>
    <x v="9"/>
    <s v="Mankind Pharma"/>
    <s v="PAN0125/25"/>
    <d v="2026-02-01T00:00:00"/>
    <n v="80"/>
    <x v="2"/>
  </r>
  <r>
    <x v="86"/>
    <s v="Dr. Rajesh Batra"/>
    <s v="Shyam Sunder"/>
    <n v="21"/>
    <x v="10"/>
    <s v="GSK India"/>
    <s v="CRO1224/25"/>
    <d v="2027-07-01T00:00:00"/>
    <n v="42"/>
    <x v="2"/>
  </r>
  <r>
    <x v="86"/>
    <s v="Dr. Rajesh Batra"/>
    <s v="Sumitra Devi"/>
    <n v="12"/>
    <x v="11"/>
    <s v="GSK India"/>
    <s v="ENO0325A"/>
    <d v="2026-07-01T00:00:00"/>
    <n v="120"/>
    <x v="2"/>
  </r>
  <r>
    <x v="86"/>
    <s v="Dr. Vinay Singla"/>
    <s v="Naresh Didharia"/>
    <n v="14"/>
    <x v="12"/>
    <s v="Sanofi India"/>
    <s v="BET0225/25"/>
    <d v="2026-07-01T00:00:00"/>
    <n v="1680"/>
    <x v="2"/>
  </r>
  <r>
    <x v="86"/>
    <s v="Dr. Geeta Choudhary"/>
    <s v="Krishan Singh"/>
    <n v="12"/>
    <x v="13"/>
    <s v="Mankind Pharma"/>
    <s v="ALB0125C"/>
    <d v="2026-10-01T00:00:00"/>
    <n v="240"/>
    <x v="2"/>
  </r>
  <r>
    <x v="86"/>
    <s v="Dr. Renu Bansal"/>
    <s v="Mandeep Kumar"/>
    <n v="10"/>
    <x v="14"/>
    <s v="Pfizer India"/>
    <s v="OXY0125A"/>
    <d v="2026-09-01T00:00:00"/>
    <n v="300"/>
    <x v="2"/>
  </r>
  <r>
    <x v="86"/>
    <s v="Dr. Anshul Sehgal"/>
    <s v="Sumitra Devi"/>
    <n v="19"/>
    <x v="15"/>
    <s v="Abbott India"/>
    <s v="ENR0225C"/>
    <d v="2026-12-01T00:00:00"/>
    <n v="760"/>
    <x v="2"/>
  </r>
  <r>
    <x v="87"/>
    <s v="OTC"/>
    <s v="Naresh Didharia"/>
    <n v="2"/>
    <x v="16"/>
    <s v="Sun Pharma"/>
    <s v="IVE0325B"/>
    <d v="2027-12-01T00:00:00"/>
    <n v="100"/>
    <x v="2"/>
  </r>
  <r>
    <x v="87"/>
    <s v="OTC"/>
    <s v="Amit Dhaka"/>
    <n v="9"/>
    <x v="0"/>
    <s v="Cipla"/>
    <s v="PAR0225A"/>
    <d v="2026-10-01T00:00:00"/>
    <n v="18"/>
    <x v="2"/>
  </r>
  <r>
    <x v="87"/>
    <s v="OTC"/>
    <s v="Sanjay Riwar"/>
    <n v="21"/>
    <x v="1"/>
    <s v="Sun Pharma"/>
    <s v="IBU0325B"/>
    <d v="2027-05-01T00:00:00"/>
    <n v="63"/>
    <x v="2"/>
  </r>
  <r>
    <x v="87"/>
    <s v="Dr. Virender Siwach"/>
    <s v="Mohit Chaberwal"/>
    <n v="3"/>
    <x v="2"/>
    <s v="Dr. Reddyâ€™s"/>
    <s v="AMO0225A"/>
    <d v="2027-07-01T00:00:00"/>
    <n v="24"/>
    <x v="2"/>
  </r>
  <r>
    <x v="87"/>
    <s v="OTC"/>
    <s v="Radhe Shaym"/>
    <n v="11"/>
    <x v="3"/>
    <s v="Zydus Cadila"/>
    <s v="CET0325B"/>
    <d v="2026-04-01T00:00:00"/>
    <n v="33"/>
    <x v="2"/>
  </r>
  <r>
    <x v="87"/>
    <s v="OTC"/>
    <s v="Ravi Dhaka"/>
    <n v="30"/>
    <x v="4"/>
    <s v="Lupin"/>
    <s v="MET0225/25"/>
    <d v="2026-12-01T00:00:00"/>
    <n v="120"/>
    <x v="2"/>
  </r>
  <r>
    <x v="87"/>
    <s v="OTC"/>
    <s v="Krishan Singh"/>
    <n v="11"/>
    <x v="5"/>
    <s v="Torrent Pharma"/>
    <s v="AML0225C"/>
    <d v="2027-02-01T00:00:00"/>
    <n v="55"/>
    <x v="2"/>
  </r>
  <r>
    <x v="87"/>
    <s v="OTC"/>
    <s v="Randhir Fageria"/>
    <n v="17"/>
    <x v="6"/>
    <s v="Alkem Laboratories"/>
    <s v="ATE1224B"/>
    <d v="2027-07-01T00:00:00"/>
    <n v="102"/>
    <x v="2"/>
  </r>
  <r>
    <x v="88"/>
    <s v="Dr. Anshul Sehgal"/>
    <s v="Krishan Singh"/>
    <n v="30"/>
    <x v="7"/>
    <s v="Cipla"/>
    <s v="SAL0325A"/>
    <d v="2026-10-01T00:00:00"/>
    <n v="120"/>
    <x v="2"/>
  </r>
  <r>
    <x v="88"/>
    <s v="OTC"/>
    <s v="Balbir Fageria"/>
    <n v="10"/>
    <x v="8"/>
    <s v="Sun Pharma"/>
    <s v="DOX0325C"/>
    <d v="2028-01-01T00:00:00"/>
    <n v="100"/>
    <x v="2"/>
  </r>
  <r>
    <x v="88"/>
    <s v="OTC"/>
    <s v="Baljinder Singh"/>
    <n v="13"/>
    <x v="9"/>
    <s v="Mankind Pharma"/>
    <s v="PAN1224X"/>
    <d v="2026-10-01T00:00:00"/>
    <n v="65"/>
    <x v="2"/>
  </r>
  <r>
    <x v="88"/>
    <s v="Dr. Kamaljeet Sambhyl"/>
    <s v="Ram Kumar"/>
    <n v="29"/>
    <x v="10"/>
    <s v="GSK India"/>
    <s v="CRO0325B"/>
    <d v="2027-08-01T00:00:00"/>
    <n v="58"/>
    <x v="2"/>
  </r>
  <r>
    <x v="88"/>
    <s v="Dr. Renu Bansal"/>
    <s v="Sanjay Riwar"/>
    <n v="2"/>
    <x v="11"/>
    <s v="GSK India"/>
    <s v="ENO0325C"/>
    <d v="2027-02-01T00:00:00"/>
    <n v="20"/>
    <x v="2"/>
  </r>
  <r>
    <x v="88"/>
    <s v="Dr. Vinay Singla"/>
    <s v="Amit Dhaka"/>
    <n v="24"/>
    <x v="12"/>
    <s v="Sanofi India"/>
    <s v="BET1224A"/>
    <d v="2027-08-01T00:00:00"/>
    <n v="2880"/>
    <x v="2"/>
  </r>
  <r>
    <x v="88"/>
    <s v="Dr. Virender Siwach"/>
    <s v="Krishan Singh"/>
    <n v="25"/>
    <x v="13"/>
    <s v="Mankind Pharma"/>
    <s v="ALB0225/25"/>
    <d v="2027-09-01T00:00:00"/>
    <n v="500"/>
    <x v="2"/>
  </r>
  <r>
    <x v="88"/>
    <s v="Dr. Satbir Khumber"/>
    <s v="Naseeb Khakhal"/>
    <n v="23"/>
    <x v="14"/>
    <s v="Pfizer India"/>
    <s v="OXY1224B"/>
    <d v="2027-04-01T00:00:00"/>
    <n v="690"/>
    <x v="2"/>
  </r>
  <r>
    <x v="89"/>
    <s v="OTC"/>
    <s v="Ram Kumar"/>
    <n v="6"/>
    <x v="15"/>
    <s v="Abbott India"/>
    <s v="ENR1224/25"/>
    <d v="2027-02-01T00:00:00"/>
    <n v="240"/>
    <x v="2"/>
  </r>
  <r>
    <x v="89"/>
    <s v="OTC"/>
    <s v="Yogesh Khicher"/>
    <n v="4"/>
    <x v="16"/>
    <s v="Sun Pharma"/>
    <s v="IVE0325B"/>
    <d v="2026-11-01T00:00:00"/>
    <n v="200"/>
    <x v="2"/>
  </r>
  <r>
    <x v="89"/>
    <s v="OTC"/>
    <s v="Tamanna Dhaka"/>
    <n v="30"/>
    <x v="0"/>
    <s v="Cipla"/>
    <s v="PAR0225C"/>
    <d v="2027-09-01T00:00:00"/>
    <n v="60"/>
    <x v="2"/>
  </r>
  <r>
    <x v="89"/>
    <s v="OTC"/>
    <s v="Ram Kumar"/>
    <n v="21"/>
    <x v="1"/>
    <s v="Sun Pharma"/>
    <s v="IBU0425X"/>
    <d v="2026-07-01T00:00:00"/>
    <n v="63"/>
    <x v="2"/>
  </r>
  <r>
    <x v="89"/>
    <s v="Dr. Rajesh Batra"/>
    <s v="Santosh Rani"/>
    <n v="8"/>
    <x v="2"/>
    <s v="Dr. Reddyâ€™s"/>
    <s v="AMO0125X"/>
    <d v="2027-03-01T00:00:00"/>
    <n v="64"/>
    <x v="2"/>
  </r>
  <r>
    <x v="89"/>
    <s v="Dr. HC Dahiya"/>
    <s v="Chander Bhan"/>
    <n v="22"/>
    <x v="3"/>
    <s v="Zydus Cadila"/>
    <s v="CET0325B"/>
    <d v="2027-04-01T00:00:00"/>
    <n v="66"/>
    <x v="2"/>
  </r>
  <r>
    <x v="89"/>
    <s v="OTC"/>
    <s v="Sahil Chundwal"/>
    <n v="10"/>
    <x v="4"/>
    <s v="Lupin"/>
    <s v="MET0225/25"/>
    <d v="2026-06-01T00:00:00"/>
    <n v="40"/>
    <x v="2"/>
  </r>
  <r>
    <x v="89"/>
    <s v="Dr. Ramphal Dhaka"/>
    <s v="Brijlalal Dhaka"/>
    <n v="22"/>
    <x v="5"/>
    <s v="Torrent Pharma"/>
    <s v="AML1224/25"/>
    <d v="2025-12-01T00:00:00"/>
    <n v="110"/>
    <x v="2"/>
  </r>
  <r>
    <x v="90"/>
    <s v="Dr. Rajesh Batra"/>
    <s v="Amit Dhaka"/>
    <n v="18"/>
    <x v="6"/>
    <s v="Alkem Laboratories"/>
    <s v="ATE0425/25"/>
    <d v="2028-02-01T00:00:00"/>
    <n v="108"/>
    <x v="3"/>
  </r>
  <r>
    <x v="90"/>
    <s v="Dr. HC Dahiya"/>
    <s v="Mandeep Kumar"/>
    <n v="23"/>
    <x v="7"/>
    <s v="Cipla"/>
    <s v="SAL0325C"/>
    <d v="2027-08-01T00:00:00"/>
    <n v="92"/>
    <x v="3"/>
  </r>
  <r>
    <x v="90"/>
    <s v="Dr. Renu Bansal"/>
    <s v="Naseeb Khakhal"/>
    <n v="29"/>
    <x v="8"/>
    <s v="Sun Pharma"/>
    <s v="DOX0325/25"/>
    <d v="2027-12-01T00:00:00"/>
    <n v="290"/>
    <x v="3"/>
  </r>
  <r>
    <x v="90"/>
    <s v="Dr. Ramphal Dhaka"/>
    <s v="Mandeep Kumar"/>
    <n v="29"/>
    <x v="9"/>
    <s v="Mankind Pharma"/>
    <s v="PAN0325C"/>
    <d v="2026-11-01T00:00:00"/>
    <n v="145"/>
    <x v="3"/>
  </r>
  <r>
    <x v="90"/>
    <s v="Dr. HC Dahiya"/>
    <s v="Kuldeep Singh"/>
    <n v="3"/>
    <x v="10"/>
    <s v="GSK India"/>
    <s v="CRO0225X"/>
    <d v="2027-11-01T00:00:00"/>
    <n v="6"/>
    <x v="3"/>
  </r>
  <r>
    <x v="90"/>
    <s v="Dr. Renu Bansal"/>
    <s v="Sube Ram"/>
    <n v="5"/>
    <x v="11"/>
    <s v="GSK India"/>
    <s v="ENO0125X"/>
    <d v="2027-09-01T00:00:00"/>
    <n v="50"/>
    <x v="3"/>
  </r>
  <r>
    <x v="90"/>
    <s v="Dr. Renu Bansal"/>
    <s v="Sumit Kumar"/>
    <n v="27"/>
    <x v="12"/>
    <s v="Sanofi India"/>
    <s v="BET0425A"/>
    <d v="2028-01-01T00:00:00"/>
    <n v="3240"/>
    <x v="3"/>
  </r>
  <r>
    <x v="90"/>
    <s v="OTC"/>
    <s v="Sahil Chundwal"/>
    <n v="8"/>
    <x v="13"/>
    <s v="Mankind Pharma"/>
    <s v="ALB1224X"/>
    <d v="2027-11-01T00:00:00"/>
    <n v="160"/>
    <x v="3"/>
  </r>
  <r>
    <x v="91"/>
    <s v="OTC"/>
    <s v="Randhir Fageria"/>
    <n v="22"/>
    <x v="14"/>
    <s v="Pfizer India"/>
    <s v="OXY0125C"/>
    <d v="2026-01-01T00:00:00"/>
    <n v="660"/>
    <x v="3"/>
  </r>
  <r>
    <x v="91"/>
    <s v="Dr. Ramphal Dhaka"/>
    <s v="Shishpal Sharma"/>
    <n v="26"/>
    <x v="15"/>
    <s v="Abbott India"/>
    <s v="ENR0125B"/>
    <d v="2026-08-01T00:00:00"/>
    <n v="1040"/>
    <x v="3"/>
  </r>
  <r>
    <x v="91"/>
    <s v="Dr. Sameer Tuteja"/>
    <s v="Sube Ram"/>
    <n v="17"/>
    <x v="16"/>
    <s v="Sun Pharma"/>
    <s v="IVE1224/25"/>
    <d v="2026-03-01T00:00:00"/>
    <n v="850"/>
    <x v="3"/>
  </r>
  <r>
    <x v="91"/>
    <s v="Dr. HC Dahiya"/>
    <s v="Krishan Singh"/>
    <n v="27"/>
    <x v="0"/>
    <s v="Cipla"/>
    <s v="PAR0125X"/>
    <d v="2027-08-01T00:00:00"/>
    <n v="54"/>
    <x v="3"/>
  </r>
  <r>
    <x v="91"/>
    <s v="OTC"/>
    <s v="Brijlalal Dhaka"/>
    <n v="19"/>
    <x v="1"/>
    <s v="Sun Pharma"/>
    <s v="IBU0425X"/>
    <d v="2028-01-01T00:00:00"/>
    <n v="57"/>
    <x v="3"/>
  </r>
  <r>
    <x v="91"/>
    <s v="Dr. Ramphal Dhaka"/>
    <s v="Dinesh Sharma"/>
    <n v="29"/>
    <x v="2"/>
    <s v="Dr. Reddyâ€™s"/>
    <s v="AMO0425A"/>
    <d v="2028-02-01T00:00:00"/>
    <n v="232"/>
    <x v="3"/>
  </r>
  <r>
    <x v="91"/>
    <s v="Dr. Geeta Choudhary"/>
    <s v="Shishpal Sharma"/>
    <n v="13"/>
    <x v="3"/>
    <s v="Zydus Cadila"/>
    <s v="CET0425/25"/>
    <d v="2026-12-01T00:00:00"/>
    <n v="39"/>
    <x v="3"/>
  </r>
  <r>
    <x v="91"/>
    <s v="OTC"/>
    <s v="Dinesh Sharma"/>
    <n v="18"/>
    <x v="4"/>
    <s v="Lupin"/>
    <s v="MET0125A"/>
    <d v="2026-07-01T00:00:00"/>
    <n v="72"/>
    <x v="3"/>
  </r>
  <r>
    <x v="92"/>
    <s v="OTC"/>
    <s v="Hari Singh"/>
    <n v="5"/>
    <x v="5"/>
    <s v="Torrent Pharma"/>
    <s v="AML0425C"/>
    <d v="2026-06-01T00:00:00"/>
    <n v="25"/>
    <x v="3"/>
  </r>
  <r>
    <x v="92"/>
    <s v="Dr. Vinay Singla"/>
    <s v="Ankit Bhadu"/>
    <n v="26"/>
    <x v="6"/>
    <s v="Alkem Laboratories"/>
    <s v="ATE1224C"/>
    <d v="2027-02-01T00:00:00"/>
    <n v="156"/>
    <x v="3"/>
  </r>
  <r>
    <x v="92"/>
    <s v="OTC"/>
    <s v="Ramkla Devi"/>
    <n v="21"/>
    <x v="7"/>
    <s v="Cipla"/>
    <s v="SAL0125A"/>
    <d v="2027-12-01T00:00:00"/>
    <n v="84"/>
    <x v="3"/>
  </r>
  <r>
    <x v="92"/>
    <s v="Dr. Manohar Pahuja"/>
    <s v="Krishan Singh"/>
    <n v="27"/>
    <x v="8"/>
    <s v="Sun Pharma"/>
    <s v="DOX0125A"/>
    <d v="2027-04-01T00:00:00"/>
    <n v="270"/>
    <x v="3"/>
  </r>
  <r>
    <x v="92"/>
    <s v="Dr. Manohar Pahuja"/>
    <s v="Raman Dhaka"/>
    <n v="1"/>
    <x v="9"/>
    <s v="Mankind Pharma"/>
    <s v="PAN1224A"/>
    <d v="2026-12-01T00:00:00"/>
    <n v="5"/>
    <x v="3"/>
  </r>
  <r>
    <x v="92"/>
    <s v="OTC"/>
    <s v="Dinesh Sharma"/>
    <n v="21"/>
    <x v="10"/>
    <s v="GSK India"/>
    <s v="CRO0225B"/>
    <d v="2026-05-01T00:00:00"/>
    <n v="42"/>
    <x v="3"/>
  </r>
  <r>
    <x v="92"/>
    <s v="OTC"/>
    <s v="Krishan Singh"/>
    <n v="10"/>
    <x v="11"/>
    <s v="GSK India"/>
    <s v="ENO0125A"/>
    <d v="2026-06-01T00:00:00"/>
    <n v="100"/>
    <x v="3"/>
  </r>
  <r>
    <x v="92"/>
    <s v="Dr. Renu Bansal"/>
    <s v="Santosh Rani"/>
    <n v="17"/>
    <x v="12"/>
    <s v="Sanofi India"/>
    <s v="BET1224/25"/>
    <d v="2026-01-01T00:00:00"/>
    <n v="2040"/>
    <x v="3"/>
  </r>
  <r>
    <x v="93"/>
    <s v="Dr. Renu Bansal"/>
    <s v="Sita Ram"/>
    <n v="24"/>
    <x v="13"/>
    <s v="Mankind Pharma"/>
    <s v="ALB0425/25"/>
    <d v="2026-08-01T00:00:00"/>
    <n v="480"/>
    <x v="3"/>
  </r>
  <r>
    <x v="93"/>
    <s v="Dr. Anshul Sehgal"/>
    <s v="Ramkla Devi"/>
    <n v="17"/>
    <x v="14"/>
    <s v="Pfizer India"/>
    <s v="OXY0125A"/>
    <d v="2027-04-01T00:00:00"/>
    <n v="510"/>
    <x v="3"/>
  </r>
  <r>
    <x v="93"/>
    <s v="OTC"/>
    <s v="Kuldeep Singh"/>
    <n v="13"/>
    <x v="15"/>
    <s v="Abbott India"/>
    <s v="ENR0225C"/>
    <d v="2026-12-01T00:00:00"/>
    <n v="520"/>
    <x v="3"/>
  </r>
  <r>
    <x v="93"/>
    <s v="Dr. Satbir Khumber"/>
    <s v="Sita Ram"/>
    <n v="24"/>
    <x v="16"/>
    <s v="Sun Pharma"/>
    <s v="IVE1224A"/>
    <d v="2027-02-01T00:00:00"/>
    <n v="1200"/>
    <x v="3"/>
  </r>
  <r>
    <x v="93"/>
    <s v="OTC"/>
    <s v="Ram Kumar"/>
    <n v="21"/>
    <x v="0"/>
    <s v="Cipla"/>
    <s v="PAR0225A"/>
    <d v="2026-04-01T00:00:00"/>
    <n v="42"/>
    <x v="3"/>
  </r>
  <r>
    <x v="93"/>
    <s v="Dr. Kamaljeet Sambhyl"/>
    <s v="Sanjay Riwar"/>
    <n v="11"/>
    <x v="1"/>
    <s v="Sun Pharma"/>
    <s v="IBU0225A"/>
    <d v="2027-09-01T00:00:00"/>
    <n v="33"/>
    <x v="3"/>
  </r>
  <r>
    <x v="93"/>
    <s v="OTC"/>
    <s v="Amar Burdak"/>
    <n v="30"/>
    <x v="2"/>
    <s v="Dr. Reddyâ€™s"/>
    <s v="AMO0325C"/>
    <d v="2027-08-01T00:00:00"/>
    <n v="240"/>
    <x v="3"/>
  </r>
  <r>
    <x v="93"/>
    <s v="Dr. Renu Bansal"/>
    <s v="Dinesh Sharma"/>
    <n v="23"/>
    <x v="3"/>
    <s v="Zydus Cadila"/>
    <s v="CET0325B"/>
    <d v="2027-01-01T00:00:00"/>
    <n v="69"/>
    <x v="3"/>
  </r>
  <r>
    <x v="94"/>
    <s v="Dr. HC Dahiya"/>
    <s v="Yogesh Khicher"/>
    <n v="29"/>
    <x v="4"/>
    <s v="Lupin"/>
    <s v="MET1224B"/>
    <d v="2026-06-01T00:00:00"/>
    <n v="116"/>
    <x v="3"/>
  </r>
  <r>
    <x v="94"/>
    <s v="OTC"/>
    <s v="Dinesh Sharma"/>
    <n v="29"/>
    <x v="5"/>
    <s v="Torrent Pharma"/>
    <s v="AML0125B"/>
    <d v="2027-03-01T00:00:00"/>
    <n v="145"/>
    <x v="3"/>
  </r>
  <r>
    <x v="94"/>
    <s v="OTC"/>
    <s v="Sita Ram"/>
    <n v="15"/>
    <x v="6"/>
    <s v="Alkem Laboratories"/>
    <s v="ATE0425/25"/>
    <d v="2028-01-01T00:00:00"/>
    <n v="90"/>
    <x v="3"/>
  </r>
  <r>
    <x v="94"/>
    <s v="Dr. Manohar Pahuja"/>
    <s v="Raman Dhaka"/>
    <n v="6"/>
    <x v="7"/>
    <s v="Cipla"/>
    <s v="SAL0225B"/>
    <d v="2026-10-01T00:00:00"/>
    <n v="24"/>
    <x v="3"/>
  </r>
  <r>
    <x v="94"/>
    <s v="OTC"/>
    <s v="Randhir Fageria"/>
    <n v="23"/>
    <x v="8"/>
    <s v="Sun Pharma"/>
    <s v="DOX0125B"/>
    <d v="2027-04-01T00:00:00"/>
    <n v="230"/>
    <x v="3"/>
  </r>
  <r>
    <x v="94"/>
    <s v="OTC"/>
    <s v="Pawan Khakhal"/>
    <n v="6"/>
    <x v="9"/>
    <s v="Mankind Pharma"/>
    <s v="PAN0325X"/>
    <d v="2026-03-01T00:00:00"/>
    <n v="30"/>
    <x v="3"/>
  </r>
  <r>
    <x v="94"/>
    <s v="OTC"/>
    <s v="Mandeep Kumar"/>
    <n v="13"/>
    <x v="10"/>
    <s v="GSK India"/>
    <s v="CRO0125B"/>
    <d v="2026-08-01T00:00:00"/>
    <n v="26"/>
    <x v="3"/>
  </r>
  <r>
    <x v="94"/>
    <s v="Dr. Vinay Singla"/>
    <s v="Naseeb Khakhal"/>
    <n v="3"/>
    <x v="11"/>
    <s v="GSK India"/>
    <s v="ENO1224X"/>
    <d v="2027-01-01T00:00:00"/>
    <n v="30"/>
    <x v="3"/>
  </r>
  <r>
    <x v="95"/>
    <s v="OTC"/>
    <s v="Pawan Khakhal"/>
    <n v="23"/>
    <x v="12"/>
    <s v="Sanofi India"/>
    <s v="BET0325B"/>
    <d v="2027-02-01T00:00:00"/>
    <n v="2760"/>
    <x v="3"/>
  </r>
  <r>
    <x v="95"/>
    <s v="OTC"/>
    <s v="Manisha Rani"/>
    <n v="2"/>
    <x v="13"/>
    <s v="Mankind Pharma"/>
    <s v="ALB1224/25"/>
    <d v="2027-06-01T00:00:00"/>
    <n v="40"/>
    <x v="3"/>
  </r>
  <r>
    <x v="95"/>
    <s v="Dr. Kamaljeet Sambhyl"/>
    <s v="Umesh Kumar"/>
    <n v="8"/>
    <x v="14"/>
    <s v="Pfizer India"/>
    <s v="OXY0325A"/>
    <d v="2028-02-01T00:00:00"/>
    <n v="240"/>
    <x v="3"/>
  </r>
  <r>
    <x v="95"/>
    <s v="OTC"/>
    <s v="Sube Ram"/>
    <n v="26"/>
    <x v="15"/>
    <s v="Abbott India"/>
    <s v="ENR0225C"/>
    <d v="2026-02-01T00:00:00"/>
    <n v="1040"/>
    <x v="3"/>
  </r>
  <r>
    <x v="95"/>
    <s v="OTC"/>
    <s v="Krishan Singh"/>
    <n v="14"/>
    <x v="16"/>
    <s v="Sun Pharma"/>
    <s v="IVE0425/25"/>
    <d v="2027-11-01T00:00:00"/>
    <n v="700"/>
    <x v="3"/>
  </r>
  <r>
    <x v="95"/>
    <s v="Dr. Vinay Singla"/>
    <s v="Shishpal Sharma"/>
    <n v="20"/>
    <x v="0"/>
    <s v="Cipla"/>
    <s v="PAR0125B"/>
    <d v="2027-02-01T00:00:00"/>
    <n v="40"/>
    <x v="3"/>
  </r>
  <r>
    <x v="95"/>
    <s v="Dr. Manohar Pahuja"/>
    <s v="Ankit Bhadu"/>
    <n v="28"/>
    <x v="1"/>
    <s v="Sun Pharma"/>
    <s v="IBU0125X"/>
    <d v="2027-01-01T00:00:00"/>
    <n v="84"/>
    <x v="3"/>
  </r>
  <r>
    <x v="95"/>
    <s v="OTC"/>
    <s v="Hari Singh"/>
    <n v="28"/>
    <x v="2"/>
    <s v="Dr. Reddyâ€™s"/>
    <s v="AMO0125A"/>
    <d v="2026-03-01T00:00:00"/>
    <n v="224"/>
    <x v="3"/>
  </r>
  <r>
    <x v="96"/>
    <s v="Dr. Rajesh Batra"/>
    <s v="Sanjay Riwar"/>
    <n v="14"/>
    <x v="3"/>
    <s v="Zydus Cadila"/>
    <s v="CET0125B"/>
    <d v="2027-12-01T00:00:00"/>
    <n v="42"/>
    <x v="3"/>
  </r>
  <r>
    <x v="96"/>
    <s v="OTC"/>
    <s v="Santosh Rani"/>
    <n v="11"/>
    <x v="4"/>
    <s v="Lupin"/>
    <s v="MET1224A"/>
    <d v="2027-11-01T00:00:00"/>
    <n v="44"/>
    <x v="3"/>
  </r>
  <r>
    <x v="96"/>
    <s v="Dr. HC Dahiya"/>
    <s v="Krishan Singh"/>
    <n v="22"/>
    <x v="5"/>
    <s v="Torrent Pharma"/>
    <s v="AML0325X"/>
    <d v="2027-10-01T00:00:00"/>
    <n v="110"/>
    <x v="3"/>
  </r>
  <r>
    <x v="96"/>
    <s v="Dr. Renu Bansal"/>
    <s v="Umesh Kumar"/>
    <n v="1"/>
    <x v="6"/>
    <s v="Alkem Laboratories"/>
    <s v="ATE0225C"/>
    <d v="2026-04-01T00:00:00"/>
    <n v="6"/>
    <x v="3"/>
  </r>
  <r>
    <x v="96"/>
    <s v="OTC"/>
    <s v="Shyam Sunder"/>
    <n v="23"/>
    <x v="7"/>
    <s v="Cipla"/>
    <s v="SAL1224/25"/>
    <d v="2026-06-01T00:00:00"/>
    <n v="92"/>
    <x v="3"/>
  </r>
  <r>
    <x v="96"/>
    <s v="Dr. Sameer Tuteja"/>
    <s v="Randhir Fageria"/>
    <n v="3"/>
    <x v="8"/>
    <s v="Sun Pharma"/>
    <s v="DOX0125B"/>
    <d v="2027-03-01T00:00:00"/>
    <n v="30"/>
    <x v="3"/>
  </r>
  <r>
    <x v="96"/>
    <s v="Dr. Ramphal Dhaka"/>
    <s v="Umesh Kumar"/>
    <n v="30"/>
    <x v="9"/>
    <s v="Mankind Pharma"/>
    <s v="PAN0125/25"/>
    <d v="2027-08-01T00:00:00"/>
    <n v="150"/>
    <x v="3"/>
  </r>
  <r>
    <x v="96"/>
    <s v="Dr. Sameer Tuteja"/>
    <s v="Raman Dhaka"/>
    <n v="25"/>
    <x v="10"/>
    <s v="GSK India"/>
    <s v="CRO0425C"/>
    <d v="2026-09-01T00:00:00"/>
    <n v="50"/>
    <x v="3"/>
  </r>
  <r>
    <x v="97"/>
    <s v="Dr. Kamaljeet Sambhyl"/>
    <s v="Pawan Khakhal"/>
    <n v="20"/>
    <x v="11"/>
    <s v="GSK India"/>
    <s v="ENO1224X"/>
    <d v="2026-07-01T00:00:00"/>
    <n v="200"/>
    <x v="3"/>
  </r>
  <r>
    <x v="97"/>
    <s v="Dr. Ramphal Dhaka"/>
    <s v="Brijlalal Dhaka"/>
    <n v="17"/>
    <x v="12"/>
    <s v="Sanofi India"/>
    <s v="BET0125X"/>
    <d v="2027-01-01T00:00:00"/>
    <n v="2040"/>
    <x v="3"/>
  </r>
  <r>
    <x v="97"/>
    <s v="Dr. Satbir Khumber"/>
    <s v="Raman Dhaka"/>
    <n v="23"/>
    <x v="13"/>
    <s v="Mankind Pharma"/>
    <s v="ALB0225X"/>
    <d v="2027-09-01T00:00:00"/>
    <n v="460"/>
    <x v="3"/>
  </r>
  <r>
    <x v="97"/>
    <s v="Dr. Virender Siwach"/>
    <s v="Santosh Rani"/>
    <n v="6"/>
    <x v="14"/>
    <s v="Pfizer India"/>
    <s v="OXY0125X"/>
    <d v="2026-01-01T00:00:00"/>
    <n v="180"/>
    <x v="3"/>
  </r>
  <r>
    <x v="97"/>
    <s v="Dr. HC Dahiya"/>
    <s v="Naseeb Khakhal"/>
    <n v="10"/>
    <x v="15"/>
    <s v="Abbott India"/>
    <s v="ENR0225A"/>
    <d v="2026-11-01T00:00:00"/>
    <n v="400"/>
    <x v="3"/>
  </r>
  <r>
    <x v="97"/>
    <s v="Dr. Kamaljeet Sambhyl"/>
    <s v="Sita Ram"/>
    <n v="5"/>
    <x v="16"/>
    <s v="Sun Pharma"/>
    <s v="IVE0425X"/>
    <d v="2026-11-01T00:00:00"/>
    <n v="250"/>
    <x v="3"/>
  </r>
  <r>
    <x v="97"/>
    <s v="OTC"/>
    <s v="Umesh Kumar"/>
    <n v="19"/>
    <x v="0"/>
    <s v="Cipla"/>
    <s v="PAR0225B"/>
    <d v="2027-02-01T00:00:00"/>
    <n v="38"/>
    <x v="3"/>
  </r>
  <r>
    <x v="97"/>
    <s v="Dr. Kamaljeet Sambhyl"/>
    <s v="Brijlalal Dhaka"/>
    <n v="13"/>
    <x v="1"/>
    <s v="Sun Pharma"/>
    <s v="IBU0325B"/>
    <d v="2026-09-01T00:00:00"/>
    <n v="39"/>
    <x v="3"/>
  </r>
  <r>
    <x v="98"/>
    <s v="OTC"/>
    <s v="Mandeep Kumar"/>
    <n v="1"/>
    <x v="2"/>
    <s v="Dr. Reddyâ€™s"/>
    <s v="AMO0425B"/>
    <d v="2026-07-01T00:00:00"/>
    <n v="8"/>
    <x v="3"/>
  </r>
  <r>
    <x v="98"/>
    <s v="OTC"/>
    <s v="Umesh Kumar"/>
    <n v="20"/>
    <x v="3"/>
    <s v="Zydus Cadila"/>
    <s v="CET0125A"/>
    <d v="2027-02-01T00:00:00"/>
    <n v="60"/>
    <x v="3"/>
  </r>
  <r>
    <x v="98"/>
    <s v="OTC"/>
    <s v="Kuldeep Singh"/>
    <n v="21"/>
    <x v="4"/>
    <s v="Lupin"/>
    <s v="MET1224A"/>
    <d v="2027-07-01T00:00:00"/>
    <n v="84"/>
    <x v="3"/>
  </r>
  <r>
    <x v="98"/>
    <s v="OTC"/>
    <s v="Yogesh Khicher"/>
    <n v="23"/>
    <x v="5"/>
    <s v="Torrent Pharma"/>
    <s v="AML1224/25"/>
    <d v="2027-01-01T00:00:00"/>
    <n v="115"/>
    <x v="3"/>
  </r>
  <r>
    <x v="98"/>
    <s v="OTC"/>
    <s v="Mandeep Kumar"/>
    <n v="29"/>
    <x v="6"/>
    <s v="Alkem Laboratories"/>
    <s v="ATE0125C"/>
    <d v="2027-07-01T00:00:00"/>
    <n v="174"/>
    <x v="3"/>
  </r>
  <r>
    <x v="98"/>
    <s v="Dr. Geeta Choudhary"/>
    <s v="Ram Kumar"/>
    <n v="20"/>
    <x v="7"/>
    <s v="Cipla"/>
    <s v="SAL0225X"/>
    <d v="2026-04-01T00:00:00"/>
    <n v="80"/>
    <x v="3"/>
  </r>
  <r>
    <x v="98"/>
    <s v="Dr. Anshul Sehgal"/>
    <s v="Sita Ram"/>
    <n v="10"/>
    <x v="8"/>
    <s v="Sun Pharma"/>
    <s v="DOX1224A"/>
    <d v="2026-01-01T00:00:00"/>
    <n v="100"/>
    <x v="3"/>
  </r>
  <r>
    <x v="98"/>
    <s v="OTC"/>
    <s v="Yogesh Khicher"/>
    <n v="6"/>
    <x v="9"/>
    <s v="Mankind Pharma"/>
    <s v="PAN0125B"/>
    <d v="2027-07-01T00:00:00"/>
    <n v="30"/>
    <x v="3"/>
  </r>
  <r>
    <x v="99"/>
    <s v="Dr. HC Dahiya"/>
    <s v="Mandeep Kumar"/>
    <n v="12"/>
    <x v="10"/>
    <s v="GSK India"/>
    <s v="CRO0425C"/>
    <d v="2026-11-01T00:00:00"/>
    <n v="24"/>
    <x v="3"/>
  </r>
  <r>
    <x v="99"/>
    <s v="Dr. Kamaljeet Sambhyl"/>
    <s v="Naseeb Khakhal"/>
    <n v="26"/>
    <x v="11"/>
    <s v="GSK India"/>
    <s v="ENO1224X"/>
    <d v="2026-02-01T00:00:00"/>
    <n v="260"/>
    <x v="3"/>
  </r>
  <r>
    <x v="99"/>
    <s v="OTC"/>
    <s v="Sumit Kumar"/>
    <n v="27"/>
    <x v="12"/>
    <s v="Sanofi India"/>
    <s v="BET0125C"/>
    <d v="2026-12-01T00:00:00"/>
    <n v="3240"/>
    <x v="3"/>
  </r>
  <r>
    <x v="99"/>
    <s v="Dr. Renu Bansal"/>
    <s v="Naresh Didharia"/>
    <n v="3"/>
    <x v="13"/>
    <s v="Mankind Pharma"/>
    <s v="ALB0325X"/>
    <d v="2026-08-01T00:00:00"/>
    <n v="60"/>
    <x v="3"/>
  </r>
  <r>
    <x v="99"/>
    <s v="Dr. Virender Siwach"/>
    <s v="Kuldeep Singh"/>
    <n v="17"/>
    <x v="14"/>
    <s v="Pfizer India"/>
    <s v="OXY0125A"/>
    <d v="2026-04-01T00:00:00"/>
    <n v="510"/>
    <x v="3"/>
  </r>
  <r>
    <x v="99"/>
    <s v="Dr. Ramphal Dhaka"/>
    <s v="Tamanna Dhaka"/>
    <n v="14"/>
    <x v="15"/>
    <s v="Abbott India"/>
    <s v="ENR0425X"/>
    <d v="2028-01-01T00:00:00"/>
    <n v="560"/>
    <x v="3"/>
  </r>
  <r>
    <x v="99"/>
    <s v="OTC"/>
    <s v="Balbir Fageria"/>
    <n v="13"/>
    <x v="16"/>
    <s v="Sun Pharma"/>
    <s v="IVE0225B"/>
    <d v="2027-08-01T00:00:00"/>
    <n v="650"/>
    <x v="3"/>
  </r>
  <r>
    <x v="99"/>
    <s v="Dr. HC Dahiya"/>
    <s v="Sumit Kumar"/>
    <n v="2"/>
    <x v="0"/>
    <s v="Cipla"/>
    <s v="PAR0125A"/>
    <d v="2026-05-01T00:00:00"/>
    <n v="4"/>
    <x v="3"/>
  </r>
  <r>
    <x v="100"/>
    <s v="Dr. Anshul Sehgal"/>
    <s v="Shishpal Sharma"/>
    <n v="17"/>
    <x v="1"/>
    <s v="Sun Pharma"/>
    <s v="IBU0225/25"/>
    <d v="2026-10-01T00:00:00"/>
    <n v="51"/>
    <x v="3"/>
  </r>
  <r>
    <x v="100"/>
    <s v="Dr. Ramphal Dhaka"/>
    <s v="Shyam Sunder"/>
    <n v="28"/>
    <x v="2"/>
    <s v="Dr. Reddyâ€™s"/>
    <s v="AMO0125/25"/>
    <d v="2026-12-01T00:00:00"/>
    <n v="224"/>
    <x v="3"/>
  </r>
  <r>
    <x v="100"/>
    <s v="Dr. Manohar Pahuja"/>
    <s v="Tamanna Dhaka"/>
    <n v="30"/>
    <x v="3"/>
    <s v="Zydus Cadila"/>
    <s v="CET1224C"/>
    <d v="2027-10-01T00:00:00"/>
    <n v="90"/>
    <x v="3"/>
  </r>
  <r>
    <x v="100"/>
    <s v="Dr. Geeta Choudhary"/>
    <s v="Sumit Kumar"/>
    <n v="29"/>
    <x v="4"/>
    <s v="Lupin"/>
    <s v="MET1224C"/>
    <d v="2026-06-01T00:00:00"/>
    <n v="116"/>
    <x v="3"/>
  </r>
  <r>
    <x v="100"/>
    <s v="Dr. Renu Bansal"/>
    <s v="Brijlalal Dhaka"/>
    <n v="19"/>
    <x v="5"/>
    <s v="Torrent Pharma"/>
    <s v="AML1224X"/>
    <d v="2026-09-01T00:00:00"/>
    <n v="95"/>
    <x v="3"/>
  </r>
  <r>
    <x v="100"/>
    <s v="OTC"/>
    <s v="Sumit Kumar"/>
    <n v="3"/>
    <x v="6"/>
    <s v="Alkem Laboratories"/>
    <s v="ATE0425X"/>
    <d v="2027-12-01T00:00:00"/>
    <n v="18"/>
    <x v="3"/>
  </r>
  <r>
    <x v="100"/>
    <s v="Dr. Geeta Choudhary"/>
    <s v="Sanjay Riwar"/>
    <n v="6"/>
    <x v="7"/>
    <s v="Cipla"/>
    <s v="SAL0325X"/>
    <d v="2026-10-01T00:00:00"/>
    <n v="24"/>
    <x v="3"/>
  </r>
  <r>
    <x v="100"/>
    <s v="Dr. Vinay Singla"/>
    <s v="Kuldeep Singh"/>
    <n v="21"/>
    <x v="8"/>
    <s v="Sun Pharma"/>
    <s v="DOX0125C"/>
    <d v="2027-10-01T00:00:00"/>
    <n v="210"/>
    <x v="3"/>
  </r>
  <r>
    <x v="101"/>
    <s v="OTC"/>
    <s v="Ramkla Devi"/>
    <n v="21"/>
    <x v="9"/>
    <s v="Mankind Pharma"/>
    <s v="PAN0125/25"/>
    <d v="2026-02-01T00:00:00"/>
    <n v="105"/>
    <x v="3"/>
  </r>
  <r>
    <x v="101"/>
    <s v="Dr. Sameer Tuteja"/>
    <s v="Chander Bhan"/>
    <n v="16"/>
    <x v="10"/>
    <s v="GSK India"/>
    <s v="CRO0425X"/>
    <d v="2027-10-01T00:00:00"/>
    <n v="32"/>
    <x v="3"/>
  </r>
  <r>
    <x v="101"/>
    <s v="Dr. Ramphal Dhaka"/>
    <s v="Umesh Kumar"/>
    <n v="11"/>
    <x v="11"/>
    <s v="GSK India"/>
    <s v="ENO0425C"/>
    <d v="2027-09-01T00:00:00"/>
    <n v="110"/>
    <x v="3"/>
  </r>
  <r>
    <x v="101"/>
    <s v="Dr. Ramphal Dhaka"/>
    <s v="Raman Dhaka"/>
    <n v="19"/>
    <x v="12"/>
    <s v="Sanofi India"/>
    <s v="BET0325X"/>
    <d v="2027-10-01T00:00:00"/>
    <n v="2280"/>
    <x v="3"/>
  </r>
  <r>
    <x v="101"/>
    <s v="Dr. Amit Narang"/>
    <s v="Yogesh Khicher"/>
    <n v="12"/>
    <x v="13"/>
    <s v="Mankind Pharma"/>
    <s v="ALB0125X"/>
    <d v="2026-10-01T00:00:00"/>
    <n v="240"/>
    <x v="3"/>
  </r>
  <r>
    <x v="101"/>
    <s v="OTC"/>
    <s v="Sita Ram"/>
    <n v="3"/>
    <x v="14"/>
    <s v="Pfizer India"/>
    <s v="OXY0225X"/>
    <d v="2027-03-01T00:00:00"/>
    <n v="90"/>
    <x v="3"/>
  </r>
  <r>
    <x v="101"/>
    <s v="Dr. Rajesh Batra"/>
    <s v="Amit Dhaka"/>
    <n v="4"/>
    <x v="15"/>
    <s v="Abbott India"/>
    <s v="ENR0225/25"/>
    <d v="2026-10-01T00:00:00"/>
    <n v="160"/>
    <x v="3"/>
  </r>
  <r>
    <x v="101"/>
    <s v="Dr. Satbir Khumber"/>
    <s v="Baljinder Singh"/>
    <n v="3"/>
    <x v="16"/>
    <s v="Sun Pharma"/>
    <s v="IVE0325/25"/>
    <d v="2027-08-01T00:00:00"/>
    <n v="150"/>
    <x v="3"/>
  </r>
  <r>
    <x v="102"/>
    <s v="Dr. Vinay Singla"/>
    <s v="Sumit Kumar"/>
    <n v="11"/>
    <x v="0"/>
    <s v="Cipla"/>
    <s v="PAR0225B"/>
    <d v="2026-03-01T00:00:00"/>
    <n v="22"/>
    <x v="3"/>
  </r>
  <r>
    <x v="102"/>
    <s v="OTC"/>
    <s v="Umesh Kumar"/>
    <n v="26"/>
    <x v="1"/>
    <s v="Sun Pharma"/>
    <s v="IBU0325C"/>
    <d v="2026-08-01T00:00:00"/>
    <n v="78"/>
    <x v="3"/>
  </r>
  <r>
    <x v="102"/>
    <s v="OTC"/>
    <s v="Raman Dhaka"/>
    <n v="23"/>
    <x v="2"/>
    <s v="Dr. Reddyâ€™s"/>
    <s v="AMO0125C"/>
    <d v="2027-04-01T00:00:00"/>
    <n v="184"/>
    <x v="3"/>
  </r>
  <r>
    <x v="102"/>
    <s v="OTC"/>
    <s v="Mandeep Kumar"/>
    <n v="19"/>
    <x v="3"/>
    <s v="Zydus Cadila"/>
    <s v="CET0125B"/>
    <d v="2027-09-01T00:00:00"/>
    <n v="57"/>
    <x v="3"/>
  </r>
  <r>
    <x v="102"/>
    <s v="Dr. Geeta Choudhary"/>
    <s v="Dinesh Sharma"/>
    <n v="12"/>
    <x v="4"/>
    <s v="Lupin"/>
    <s v="MET0425X"/>
    <d v="2027-05-01T00:00:00"/>
    <n v="48"/>
    <x v="3"/>
  </r>
  <r>
    <x v="102"/>
    <s v="Dr. Amit Narang"/>
    <s v="Brijlalal Dhaka"/>
    <n v="8"/>
    <x v="5"/>
    <s v="Torrent Pharma"/>
    <s v="AML1224A"/>
    <d v="2026-12-01T00:00:00"/>
    <n v="40"/>
    <x v="3"/>
  </r>
  <r>
    <x v="102"/>
    <s v="Dr. Sameer Tuteja"/>
    <s v="Raman Dhaka"/>
    <n v="3"/>
    <x v="6"/>
    <s v="Alkem Laboratories"/>
    <s v="ATE0325C"/>
    <d v="2026-12-01T00:00:00"/>
    <n v="18"/>
    <x v="3"/>
  </r>
  <r>
    <x v="102"/>
    <s v="OTC"/>
    <s v="Sahil Chundwal"/>
    <n v="21"/>
    <x v="7"/>
    <s v="Cipla"/>
    <s v="SAL0425X"/>
    <d v="2027-07-01T00:00:00"/>
    <n v="84"/>
    <x v="3"/>
  </r>
  <r>
    <x v="103"/>
    <s v="Dr. Renu Bansal"/>
    <s v="Krishan Singh"/>
    <n v="5"/>
    <x v="8"/>
    <s v="Sun Pharma"/>
    <s v="DOX0425/25"/>
    <d v="2027-11-01T00:00:00"/>
    <n v="50"/>
    <x v="3"/>
  </r>
  <r>
    <x v="103"/>
    <s v="Dr. Vinay Singla"/>
    <s v="Umesh Kumar"/>
    <n v="11"/>
    <x v="9"/>
    <s v="Mankind Pharma"/>
    <s v="PAN0325A"/>
    <d v="2026-03-01T00:00:00"/>
    <n v="55"/>
    <x v="3"/>
  </r>
  <r>
    <x v="103"/>
    <s v="OTC"/>
    <s v="Sahil Chundwal"/>
    <n v="11"/>
    <x v="10"/>
    <s v="GSK India"/>
    <s v="CRO1224X"/>
    <d v="2027-04-01T00:00:00"/>
    <n v="22"/>
    <x v="3"/>
  </r>
  <r>
    <x v="103"/>
    <s v="Dr. Anshul Sehgal"/>
    <s v="Tamanna Dhaka"/>
    <n v="17"/>
    <x v="11"/>
    <s v="GSK India"/>
    <s v="ENO0325C"/>
    <d v="2027-07-01T00:00:00"/>
    <n v="170"/>
    <x v="3"/>
  </r>
  <r>
    <x v="103"/>
    <s v="Dr. HC Dahiya"/>
    <s v="Sita Ram"/>
    <n v="14"/>
    <x v="12"/>
    <s v="Sanofi India"/>
    <s v="BET0425X"/>
    <d v="2027-05-01T00:00:00"/>
    <n v="1680"/>
    <x v="3"/>
  </r>
  <r>
    <x v="103"/>
    <s v="Dr. HC Dahiya"/>
    <s v="Sita Ram"/>
    <n v="5"/>
    <x v="13"/>
    <s v="Mankind Pharma"/>
    <s v="ALB0125/25"/>
    <d v="2027-05-01T00:00:00"/>
    <n v="100"/>
    <x v="3"/>
  </r>
  <r>
    <x v="103"/>
    <s v="OTC"/>
    <s v="Tamanna Dhaka"/>
    <n v="27"/>
    <x v="14"/>
    <s v="Pfizer India"/>
    <s v="OXY0325/25"/>
    <d v="2026-05-01T00:00:00"/>
    <n v="810"/>
    <x v="3"/>
  </r>
  <r>
    <x v="103"/>
    <s v="Dr. Rajesh Batra"/>
    <s v="Manisha Rani"/>
    <n v="24"/>
    <x v="15"/>
    <s v="Abbott India"/>
    <s v="ENR0125B"/>
    <d v="2026-05-01T00:00:00"/>
    <n v="960"/>
    <x v="3"/>
  </r>
  <r>
    <x v="104"/>
    <s v="Dr. Virender Siwach"/>
    <s v="Dinesh Sharma"/>
    <n v="10"/>
    <x v="16"/>
    <s v="Sun Pharma"/>
    <s v="IVE0325A"/>
    <d v="2026-11-01T00:00:00"/>
    <n v="500"/>
    <x v="3"/>
  </r>
  <r>
    <x v="104"/>
    <s v="OTC"/>
    <s v="Mandeep Kumar"/>
    <n v="15"/>
    <x v="0"/>
    <s v="Cipla"/>
    <s v="PAR0225X"/>
    <d v="2027-09-01T00:00:00"/>
    <n v="30"/>
    <x v="3"/>
  </r>
  <r>
    <x v="104"/>
    <s v="Dr. Sameer Tuteja"/>
    <s v="Raman Dhaka"/>
    <n v="10"/>
    <x v="1"/>
    <s v="Sun Pharma"/>
    <s v="IBU0425C"/>
    <d v="2027-06-01T00:00:00"/>
    <n v="30"/>
    <x v="3"/>
  </r>
  <r>
    <x v="104"/>
    <s v="OTC"/>
    <s v="Hari Singh"/>
    <n v="23"/>
    <x v="2"/>
    <s v="Dr. Reddyâ€™s"/>
    <s v="AMO0225A"/>
    <d v="2026-08-01T00:00:00"/>
    <n v="184"/>
    <x v="3"/>
  </r>
  <r>
    <x v="104"/>
    <s v="Dr. Virender Siwach"/>
    <s v="Naresh Didharia"/>
    <n v="27"/>
    <x v="3"/>
    <s v="Zydus Cadila"/>
    <s v="CET0325B"/>
    <d v="2026-12-01T00:00:00"/>
    <n v="81"/>
    <x v="3"/>
  </r>
  <r>
    <x v="104"/>
    <s v="Dr. Anshul Sehgal"/>
    <s v="Amar Burdak"/>
    <n v="7"/>
    <x v="4"/>
    <s v="Lupin"/>
    <s v="MET0125A"/>
    <d v="2027-09-01T00:00:00"/>
    <n v="28"/>
    <x v="3"/>
  </r>
  <r>
    <x v="104"/>
    <s v="Dr. Kamaljeet Sambhyl"/>
    <s v="Krishan Singh"/>
    <n v="22"/>
    <x v="5"/>
    <s v="Torrent Pharma"/>
    <s v="AML0125/25"/>
    <d v="2027-06-01T00:00:00"/>
    <n v="110"/>
    <x v="3"/>
  </r>
  <r>
    <x v="104"/>
    <s v="Dr. Rajesh Batra"/>
    <s v="Amar Burdak"/>
    <n v="18"/>
    <x v="6"/>
    <s v="Alkem Laboratories"/>
    <s v="ATE0125A"/>
    <d v="2026-12-01T00:00:00"/>
    <n v="108"/>
    <x v="3"/>
  </r>
  <r>
    <x v="105"/>
    <s v="OTC"/>
    <s v="Santosh Rani"/>
    <n v="14"/>
    <x v="7"/>
    <s v="Cipla"/>
    <s v="SAL0325/25"/>
    <d v="2027-05-01T00:00:00"/>
    <n v="56"/>
    <x v="3"/>
  </r>
  <r>
    <x v="105"/>
    <s v="Dr. Virender Siwach"/>
    <s v="Krishan Singh"/>
    <n v="29"/>
    <x v="8"/>
    <s v="Sun Pharma"/>
    <s v="DOX0125/25"/>
    <d v="2027-08-01T00:00:00"/>
    <n v="290"/>
    <x v="3"/>
  </r>
  <r>
    <x v="105"/>
    <s v="Dr. Renu Bansal"/>
    <s v="Sita Ram"/>
    <n v="18"/>
    <x v="9"/>
    <s v="Mankind Pharma"/>
    <s v="PAN0125A"/>
    <d v="2027-09-01T00:00:00"/>
    <n v="90"/>
    <x v="3"/>
  </r>
  <r>
    <x v="105"/>
    <s v="Dr. Geeta Choudhary"/>
    <s v="Manisha Rani"/>
    <n v="10"/>
    <x v="10"/>
    <s v="GSK India"/>
    <s v="CRO0425/25"/>
    <d v="2027-06-01T00:00:00"/>
    <n v="20"/>
    <x v="3"/>
  </r>
  <r>
    <x v="105"/>
    <s v="OTC"/>
    <s v="Yogesh Khicher"/>
    <n v="13"/>
    <x v="11"/>
    <s v="GSK India"/>
    <s v="ENO0125X"/>
    <d v="2027-06-01T00:00:00"/>
    <n v="130"/>
    <x v="3"/>
  </r>
  <r>
    <x v="105"/>
    <s v="Dr. Renu Bansal"/>
    <s v="Hari Singh"/>
    <n v="15"/>
    <x v="12"/>
    <s v="Sanofi India"/>
    <s v="BET0125A"/>
    <d v="2027-11-01T00:00:00"/>
    <n v="1800"/>
    <x v="3"/>
  </r>
  <r>
    <x v="105"/>
    <s v="Dr. Geeta Choudhary"/>
    <s v="Santosh Rani"/>
    <n v="5"/>
    <x v="13"/>
    <s v="Mankind Pharma"/>
    <s v="ALB0425B"/>
    <d v="2026-11-01T00:00:00"/>
    <n v="100"/>
    <x v="3"/>
  </r>
  <r>
    <x v="105"/>
    <s v="Dr. Anshul Sehgal"/>
    <s v="Krishan Singh"/>
    <n v="26"/>
    <x v="14"/>
    <s v="Pfizer India"/>
    <s v="OXY0325X"/>
    <d v="2026-05-01T00:00:00"/>
    <n v="780"/>
    <x v="3"/>
  </r>
  <r>
    <x v="106"/>
    <s v="Dr. Amit Narang"/>
    <s v="Dinesh Sharma"/>
    <n v="11"/>
    <x v="15"/>
    <s v="Abbott India"/>
    <s v="ENR0225/25"/>
    <d v="2026-09-01T00:00:00"/>
    <n v="440"/>
    <x v="3"/>
  </r>
  <r>
    <x v="106"/>
    <s v="Dr. Manohar Pahuja"/>
    <s v="Krishan Singh"/>
    <n v="5"/>
    <x v="16"/>
    <s v="Sun Pharma"/>
    <s v="IVE0125X"/>
    <d v="2027-10-01T00:00:00"/>
    <n v="250"/>
    <x v="3"/>
  </r>
  <r>
    <x v="106"/>
    <s v="OTC"/>
    <s v="Manisha Rani"/>
    <n v="23"/>
    <x v="0"/>
    <s v="Cipla"/>
    <s v="PAR0325/25"/>
    <d v="2027-12-01T00:00:00"/>
    <n v="46"/>
    <x v="3"/>
  </r>
  <r>
    <x v="106"/>
    <s v="Dr. Anshul Sehgal"/>
    <s v="Randhir Fageria"/>
    <n v="20"/>
    <x v="1"/>
    <s v="Sun Pharma"/>
    <s v="IBU0325X"/>
    <d v="2026-10-01T00:00:00"/>
    <n v="60"/>
    <x v="3"/>
  </r>
  <r>
    <x v="106"/>
    <s v="Dr. Geeta Choudhary"/>
    <s v="Sahil Chundwal"/>
    <n v="18"/>
    <x v="2"/>
    <s v="Dr. Reddyâ€™s"/>
    <s v="AMO0325B"/>
    <d v="2026-08-01T00:00:00"/>
    <n v="144"/>
    <x v="3"/>
  </r>
  <r>
    <x v="106"/>
    <s v="OTC"/>
    <s v="Randhir Fageria"/>
    <n v="7"/>
    <x v="3"/>
    <s v="Zydus Cadila"/>
    <s v="CET0425B"/>
    <d v="2027-06-01T00:00:00"/>
    <n v="21"/>
    <x v="3"/>
  </r>
  <r>
    <x v="106"/>
    <s v="Dr. Vinay Singla"/>
    <s v="Tamanna Dhaka"/>
    <n v="24"/>
    <x v="4"/>
    <s v="Lupin"/>
    <s v="MET0325A"/>
    <d v="2027-09-01T00:00:00"/>
    <n v="96"/>
    <x v="3"/>
  </r>
  <r>
    <x v="106"/>
    <s v="Dr. Anshul Sehgal"/>
    <s v="Shishpal Sharma"/>
    <n v="12"/>
    <x v="5"/>
    <s v="Torrent Pharma"/>
    <s v="AML0225/25"/>
    <d v="2026-09-01T00:00:00"/>
    <n v="60"/>
    <x v="3"/>
  </r>
  <r>
    <x v="107"/>
    <s v="Dr. Kamaljeet Sambhyl"/>
    <s v="Mandeep Kumar"/>
    <n v="23"/>
    <x v="6"/>
    <s v="Alkem Laboratories"/>
    <s v="ATE0225A"/>
    <d v="2027-05-01T00:00:00"/>
    <n v="138"/>
    <x v="3"/>
  </r>
  <r>
    <x v="107"/>
    <s v="Dr. Renu Bansal"/>
    <s v="Randhir Fageria"/>
    <n v="25"/>
    <x v="7"/>
    <s v="Cipla"/>
    <s v="SAL0225B"/>
    <d v="2027-07-01T00:00:00"/>
    <n v="100"/>
    <x v="3"/>
  </r>
  <r>
    <x v="107"/>
    <s v="Dr. HC Dahiya"/>
    <s v="Ravi Dhaka"/>
    <n v="11"/>
    <x v="8"/>
    <s v="Sun Pharma"/>
    <s v="DOX0225A"/>
    <d v="2026-11-01T00:00:00"/>
    <n v="110"/>
    <x v="3"/>
  </r>
  <r>
    <x v="107"/>
    <s v="Dr. Rajesh Batra"/>
    <s v="Mohit Chaberwal"/>
    <n v="16"/>
    <x v="9"/>
    <s v="Mankind Pharma"/>
    <s v="PAN1224X"/>
    <d v="2027-11-01T00:00:00"/>
    <n v="80"/>
    <x v="3"/>
  </r>
  <r>
    <x v="107"/>
    <s v="Dr. Anshul Sehgal"/>
    <s v="Baljinder Singh"/>
    <n v="25"/>
    <x v="10"/>
    <s v="GSK India"/>
    <s v="CRO0425X"/>
    <d v="2027-02-01T00:00:00"/>
    <n v="50"/>
    <x v="3"/>
  </r>
  <r>
    <x v="107"/>
    <s v="Dr. Manohar Pahuja"/>
    <s v="Umesh Kumar"/>
    <n v="9"/>
    <x v="11"/>
    <s v="GSK India"/>
    <s v="ENO0325X"/>
    <d v="2026-08-01T00:00:00"/>
    <n v="90"/>
    <x v="3"/>
  </r>
  <r>
    <x v="107"/>
    <s v="Dr. Geeta Choudhary"/>
    <s v="Kuldeep Singh"/>
    <n v="13"/>
    <x v="12"/>
    <s v="Sanofi India"/>
    <s v="BET0325A"/>
    <d v="2026-03-01T00:00:00"/>
    <n v="1560"/>
    <x v="3"/>
  </r>
  <r>
    <x v="107"/>
    <s v="OTC"/>
    <s v="Shishpal Sharma"/>
    <n v="2"/>
    <x v="13"/>
    <s v="Mankind Pharma"/>
    <s v="ALB0325A"/>
    <d v="2027-12-01T00:00:00"/>
    <n v="40"/>
    <x v="3"/>
  </r>
  <r>
    <x v="108"/>
    <s v="Dr. Virender Siwach"/>
    <s v="Santosh Rani"/>
    <n v="1"/>
    <x v="14"/>
    <s v="Pfizer India"/>
    <s v="OXY0325X"/>
    <d v="2027-05-01T00:00:00"/>
    <n v="30"/>
    <x v="3"/>
  </r>
  <r>
    <x v="108"/>
    <s v="Dr. Geeta Choudhary"/>
    <s v="Kuldeep Singh"/>
    <n v="17"/>
    <x v="15"/>
    <s v="Abbott India"/>
    <s v="ENR0225C"/>
    <d v="2027-07-01T00:00:00"/>
    <n v="680"/>
    <x v="3"/>
  </r>
  <r>
    <x v="108"/>
    <s v="OTC"/>
    <s v="Dinesh Sharma"/>
    <n v="9"/>
    <x v="16"/>
    <s v="Sun Pharma"/>
    <s v="IVE0225C"/>
    <d v="2027-05-01T00:00:00"/>
    <n v="450"/>
    <x v="3"/>
  </r>
  <r>
    <x v="108"/>
    <s v="Dr. Ramphal Dhaka"/>
    <s v="Baljinder Singh"/>
    <n v="6"/>
    <x v="0"/>
    <s v="Cipla"/>
    <s v="PAR0425A"/>
    <d v="2027-07-01T00:00:00"/>
    <n v="12"/>
    <x v="3"/>
  </r>
  <r>
    <x v="108"/>
    <s v="Dr. HC Dahiya"/>
    <s v="Amar Burdak"/>
    <n v="9"/>
    <x v="1"/>
    <s v="Sun Pharma"/>
    <s v="IBU0425B"/>
    <d v="2027-08-01T00:00:00"/>
    <n v="27"/>
    <x v="3"/>
  </r>
  <r>
    <x v="108"/>
    <s v="Dr. Satbir Khumber"/>
    <s v="Sube Ram"/>
    <n v="22"/>
    <x v="2"/>
    <s v="Dr. Reddyâ€™s"/>
    <s v="AMO0325X"/>
    <d v="2026-06-01T00:00:00"/>
    <n v="176"/>
    <x v="3"/>
  </r>
  <r>
    <x v="108"/>
    <s v="Dr. Sameer Tuteja"/>
    <s v="Ramkla Devi"/>
    <n v="6"/>
    <x v="3"/>
    <s v="Zydus Cadila"/>
    <s v="CET0125B"/>
    <d v="2027-01-01T00:00:00"/>
    <n v="18"/>
    <x v="3"/>
  </r>
  <r>
    <x v="108"/>
    <s v="Dr. Anshul Sehgal"/>
    <s v="Mohit Chaberwal"/>
    <n v="13"/>
    <x v="4"/>
    <s v="Lupin"/>
    <s v="MET0325A"/>
    <d v="2028-02-01T00:00:00"/>
    <n v="52"/>
    <x v="3"/>
  </r>
  <r>
    <x v="109"/>
    <s v="OTC"/>
    <s v="Brijlalal Dhaka"/>
    <n v="19"/>
    <x v="5"/>
    <s v="Torrent Pharma"/>
    <s v="AML0225A"/>
    <d v="2027-01-01T00:00:00"/>
    <n v="95"/>
    <x v="3"/>
  </r>
  <r>
    <x v="109"/>
    <s v="OTC"/>
    <s v="Amit Dhaka"/>
    <n v="25"/>
    <x v="6"/>
    <s v="Alkem Laboratories"/>
    <s v="ATE0125X"/>
    <d v="2027-04-01T00:00:00"/>
    <n v="150"/>
    <x v="3"/>
  </r>
  <r>
    <x v="109"/>
    <s v="OTC"/>
    <s v="Sahil Chundwal"/>
    <n v="21"/>
    <x v="7"/>
    <s v="Cipla"/>
    <s v="SAL0325A"/>
    <d v="2026-07-01T00:00:00"/>
    <n v="84"/>
    <x v="3"/>
  </r>
  <r>
    <x v="109"/>
    <s v="Dr. Amit Narang"/>
    <s v="Baljinder Singh"/>
    <n v="11"/>
    <x v="8"/>
    <s v="Sun Pharma"/>
    <s v="DOX1224/25"/>
    <d v="2026-06-01T00:00:00"/>
    <n v="110"/>
    <x v="3"/>
  </r>
  <r>
    <x v="109"/>
    <s v="Dr. Rajesh Batra"/>
    <s v="Shishpal Sharma"/>
    <n v="22"/>
    <x v="9"/>
    <s v="Mankind Pharma"/>
    <s v="PAN1224B"/>
    <d v="2026-02-01T00:00:00"/>
    <n v="110"/>
    <x v="3"/>
  </r>
  <r>
    <x v="109"/>
    <s v="OTC"/>
    <s v="Dinesh Sharma"/>
    <n v="9"/>
    <x v="10"/>
    <s v="GSK India"/>
    <s v="CRO0425C"/>
    <d v="2026-09-01T00:00:00"/>
    <n v="18"/>
    <x v="3"/>
  </r>
  <r>
    <x v="109"/>
    <s v="Dr. HC Dahiya"/>
    <s v="Sumitra Devi"/>
    <n v="2"/>
    <x v="11"/>
    <s v="GSK India"/>
    <s v="ENO1224X"/>
    <d v="2026-04-01T00:00:00"/>
    <n v="20"/>
    <x v="3"/>
  </r>
  <r>
    <x v="109"/>
    <s v="OTC"/>
    <s v="Sumit Kumar"/>
    <n v="4"/>
    <x v="12"/>
    <s v="Sanofi India"/>
    <s v="BET1224/25"/>
    <d v="2026-05-01T00:00:00"/>
    <n v="480"/>
    <x v="3"/>
  </r>
  <r>
    <x v="110"/>
    <s v="Dr. Satbir Khumber"/>
    <s v="Pawan Khakhal"/>
    <n v="25"/>
    <x v="13"/>
    <s v="Mankind Pharma"/>
    <s v="ALB0425/25"/>
    <d v="2028-03-01T00:00:00"/>
    <n v="500"/>
    <x v="3"/>
  </r>
  <r>
    <x v="110"/>
    <s v="Dr. Virender Siwach"/>
    <s v="Balbir Fageria"/>
    <n v="3"/>
    <x v="14"/>
    <s v="Pfizer India"/>
    <s v="OXY0125X"/>
    <d v="2026-08-01T00:00:00"/>
    <n v="90"/>
    <x v="3"/>
  </r>
  <r>
    <x v="110"/>
    <s v="Dr. Rajesh Batra"/>
    <s v="Mohit Chaberwal"/>
    <n v="24"/>
    <x v="15"/>
    <s v="Abbott India"/>
    <s v="ENR0225C"/>
    <d v="2026-11-01T00:00:00"/>
    <n v="960"/>
    <x v="3"/>
  </r>
  <r>
    <x v="110"/>
    <s v="Dr. Ramphal Dhaka"/>
    <s v="Sahil Chundwal"/>
    <n v="15"/>
    <x v="16"/>
    <s v="Sun Pharma"/>
    <s v="IVE0425X"/>
    <d v="2027-09-01T00:00:00"/>
    <n v="750"/>
    <x v="3"/>
  </r>
  <r>
    <x v="110"/>
    <s v="Dr. HC Dahiya"/>
    <s v="Randhir Fageria"/>
    <n v="14"/>
    <x v="0"/>
    <s v="Cipla"/>
    <s v="PAR0325/25"/>
    <d v="2026-11-01T00:00:00"/>
    <n v="28"/>
    <x v="3"/>
  </r>
  <r>
    <x v="110"/>
    <s v="Dr. Amit Narang"/>
    <s v="Naseeb Khakhal"/>
    <n v="19"/>
    <x v="1"/>
    <s v="Sun Pharma"/>
    <s v="IBU0125X"/>
    <d v="2026-05-01T00:00:00"/>
    <n v="57"/>
    <x v="3"/>
  </r>
  <r>
    <x v="110"/>
    <s v="Dr. Renu Bansal"/>
    <s v="Amar Burdak"/>
    <n v="23"/>
    <x v="2"/>
    <s v="Dr. Reddyâ€™s"/>
    <s v="AMO0425C"/>
    <d v="2026-09-01T00:00:00"/>
    <n v="184"/>
    <x v="3"/>
  </r>
  <r>
    <x v="110"/>
    <s v="Dr. HC Dahiya"/>
    <s v="Amit Dhaka"/>
    <n v="23"/>
    <x v="3"/>
    <s v="Zydus Cadila"/>
    <s v="CET0325/25"/>
    <d v="2028-02-01T00:00:00"/>
    <n v="69"/>
    <x v="3"/>
  </r>
  <r>
    <x v="111"/>
    <s v="Dr. HC Dahiya"/>
    <s v="Amit Dhaka"/>
    <n v="30"/>
    <x v="4"/>
    <s v="Lupin"/>
    <s v="MET0125A"/>
    <d v="2027-09-01T00:00:00"/>
    <n v="120"/>
    <x v="3"/>
  </r>
  <r>
    <x v="111"/>
    <s v="Dr. Virender Siwach"/>
    <s v="Randhir Fageria"/>
    <n v="17"/>
    <x v="5"/>
    <s v="Torrent Pharma"/>
    <s v="AML0125/25"/>
    <d v="2027-03-01T00:00:00"/>
    <n v="85"/>
    <x v="3"/>
  </r>
  <r>
    <x v="111"/>
    <s v="Dr. Anshul Sehgal"/>
    <s v="Ram Kumar"/>
    <n v="22"/>
    <x v="6"/>
    <s v="Alkem Laboratories"/>
    <s v="ATE0225C"/>
    <d v="2026-07-01T00:00:00"/>
    <n v="132"/>
    <x v="3"/>
  </r>
  <r>
    <x v="111"/>
    <s v="Dr. HC Dahiya"/>
    <s v="Ram Kumar"/>
    <n v="19"/>
    <x v="7"/>
    <s v="Cipla"/>
    <s v="SAL1224B"/>
    <d v="2026-06-01T00:00:00"/>
    <n v="76"/>
    <x v="3"/>
  </r>
  <r>
    <x v="111"/>
    <s v="Dr. Ramphal Dhaka"/>
    <s v="Kuldeep Singh"/>
    <n v="22"/>
    <x v="8"/>
    <s v="Sun Pharma"/>
    <s v="DOX0225A"/>
    <d v="2028-01-01T00:00:00"/>
    <n v="220"/>
    <x v="3"/>
  </r>
  <r>
    <x v="111"/>
    <s v="OTC"/>
    <s v="Pawan Khakhal"/>
    <n v="5"/>
    <x v="9"/>
    <s v="Mankind Pharma"/>
    <s v="PAN1224A"/>
    <d v="2027-06-01T00:00:00"/>
    <n v="25"/>
    <x v="3"/>
  </r>
  <r>
    <x v="111"/>
    <s v="OTC"/>
    <s v="Ravi Dhaka"/>
    <n v="14"/>
    <x v="10"/>
    <s v="GSK India"/>
    <s v="CRO0425X"/>
    <d v="2027-04-01T00:00:00"/>
    <n v="28"/>
    <x v="3"/>
  </r>
  <r>
    <x v="111"/>
    <s v="Dr. Amit Narang"/>
    <s v="Ramkla Devi"/>
    <n v="5"/>
    <x v="11"/>
    <s v="GSK India"/>
    <s v="ENO1224/25"/>
    <d v="2026-01-01T00:00:00"/>
    <n v="50"/>
    <x v="3"/>
  </r>
  <r>
    <x v="112"/>
    <s v="Dr. Anshul Sehgal"/>
    <s v="Ramkla Devi"/>
    <n v="18"/>
    <x v="12"/>
    <s v="Sanofi India"/>
    <s v="BET0125/25"/>
    <d v="2027-08-01T00:00:00"/>
    <n v="2160"/>
    <x v="3"/>
  </r>
  <r>
    <x v="112"/>
    <s v="Dr. Manohar Pahuja"/>
    <s v="Yogesh Khicher"/>
    <n v="22"/>
    <x v="13"/>
    <s v="Mankind Pharma"/>
    <s v="ALB0325B"/>
    <d v="2028-01-01T00:00:00"/>
    <n v="440"/>
    <x v="3"/>
  </r>
  <r>
    <x v="112"/>
    <s v="OTC"/>
    <s v="Santosh Rani"/>
    <n v="10"/>
    <x v="14"/>
    <s v="Pfizer India"/>
    <s v="OXY0425C"/>
    <d v="2027-12-01T00:00:00"/>
    <n v="300"/>
    <x v="3"/>
  </r>
  <r>
    <x v="112"/>
    <s v="Dr. Renu Bansal"/>
    <s v="Pawan Khakhal"/>
    <n v="12"/>
    <x v="15"/>
    <s v="Abbott India"/>
    <s v="ENR0325/25"/>
    <d v="2026-09-01T00:00:00"/>
    <n v="480"/>
    <x v="3"/>
  </r>
  <r>
    <x v="112"/>
    <s v="Dr. Sameer Tuteja"/>
    <s v="Sube Ram"/>
    <n v="20"/>
    <x v="16"/>
    <s v="Sun Pharma"/>
    <s v="IVE0125X"/>
    <d v="2026-11-01T00:00:00"/>
    <n v="1000"/>
    <x v="3"/>
  </r>
  <r>
    <x v="112"/>
    <s v="Dr. Vinay Singla"/>
    <s v="Shishpal Sharma"/>
    <n v="16"/>
    <x v="0"/>
    <s v="Cipla"/>
    <s v="PAR0125/25"/>
    <d v="2027-03-01T00:00:00"/>
    <n v="32"/>
    <x v="3"/>
  </r>
  <r>
    <x v="112"/>
    <s v="Dr. Renu Bansal"/>
    <s v="Sumitra Devi"/>
    <n v="25"/>
    <x v="1"/>
    <s v="Sun Pharma"/>
    <s v="IBU0325A"/>
    <d v="2027-02-01T00:00:00"/>
    <n v="75"/>
    <x v="3"/>
  </r>
  <r>
    <x v="112"/>
    <s v="Dr. Rajesh Batra"/>
    <s v="Sumit Kumar"/>
    <n v="3"/>
    <x v="2"/>
    <s v="Dr. Reddyâ€™s"/>
    <s v="AMO0125C"/>
    <d v="2027-07-01T00:00:00"/>
    <n v="24"/>
    <x v="3"/>
  </r>
  <r>
    <x v="113"/>
    <s v="Dr. Renu Bansal"/>
    <s v="Dinesh Sharma"/>
    <n v="8"/>
    <x v="3"/>
    <s v="Zydus Cadila"/>
    <s v="CET0125C"/>
    <d v="2026-12-01T00:00:00"/>
    <n v="24"/>
    <x v="3"/>
  </r>
  <r>
    <x v="113"/>
    <s v="OTC"/>
    <s v="Manisha Rani"/>
    <n v="26"/>
    <x v="4"/>
    <s v="Lupin"/>
    <s v="MET0225X"/>
    <d v="2027-09-01T00:00:00"/>
    <n v="104"/>
    <x v="3"/>
  </r>
  <r>
    <x v="113"/>
    <s v="Dr. HC Dahiya"/>
    <s v="Dinesh Sharma"/>
    <n v="28"/>
    <x v="5"/>
    <s v="Torrent Pharma"/>
    <s v="AML0225A"/>
    <d v="2026-08-01T00:00:00"/>
    <n v="140"/>
    <x v="3"/>
  </r>
  <r>
    <x v="113"/>
    <s v="Dr. Vinay Singla"/>
    <s v="Hari Singh"/>
    <n v="26"/>
    <x v="6"/>
    <s v="Alkem Laboratories"/>
    <s v="ATE0425X"/>
    <d v="2027-09-01T00:00:00"/>
    <n v="156"/>
    <x v="3"/>
  </r>
  <r>
    <x v="113"/>
    <s v="Dr. Sameer Tuteja"/>
    <s v="Amar Burdak"/>
    <n v="27"/>
    <x v="7"/>
    <s v="Cipla"/>
    <s v="SAL0325B"/>
    <d v="2026-12-01T00:00:00"/>
    <n v="108"/>
    <x v="3"/>
  </r>
  <r>
    <x v="113"/>
    <s v="Dr. Ramphal Dhaka"/>
    <s v="Chander Bhan"/>
    <n v="13"/>
    <x v="8"/>
    <s v="Sun Pharma"/>
    <s v="DOX1224C"/>
    <d v="2026-12-01T00:00:00"/>
    <n v="130"/>
    <x v="3"/>
  </r>
  <r>
    <x v="113"/>
    <s v="OTC"/>
    <s v="Manisha Rani"/>
    <n v="5"/>
    <x v="9"/>
    <s v="Mankind Pharma"/>
    <s v="PAN0425X"/>
    <d v="2028-01-01T00:00:00"/>
    <n v="25"/>
    <x v="3"/>
  </r>
  <r>
    <x v="113"/>
    <s v="Dr. Virender Siwach"/>
    <s v="Shishpal Sharma"/>
    <n v="25"/>
    <x v="10"/>
    <s v="GSK India"/>
    <s v="CRO0125C"/>
    <d v="2026-09-01T00:00:00"/>
    <n v="50"/>
    <x v="3"/>
  </r>
  <r>
    <x v="114"/>
    <s v="Dr. Manohar Pahuja"/>
    <s v="Raman Dhaka"/>
    <n v="18"/>
    <x v="11"/>
    <s v="GSK India"/>
    <s v="ENO0225B"/>
    <d v="2027-07-01T00:00:00"/>
    <n v="180"/>
    <x v="3"/>
  </r>
  <r>
    <x v="114"/>
    <s v="Dr. Anshul Sehgal"/>
    <s v="Krishan Singh"/>
    <n v="7"/>
    <x v="12"/>
    <s v="Sanofi India"/>
    <s v="BET0225C"/>
    <d v="2026-03-01T00:00:00"/>
    <n v="840"/>
    <x v="3"/>
  </r>
  <r>
    <x v="114"/>
    <s v="Dr. HC Dahiya"/>
    <s v="Ravi Dhaka"/>
    <n v="11"/>
    <x v="13"/>
    <s v="Mankind Pharma"/>
    <s v="ALB0425X"/>
    <d v="2026-08-01T00:00:00"/>
    <n v="220"/>
    <x v="3"/>
  </r>
  <r>
    <x v="114"/>
    <s v="Dr. Ramphal Dhaka"/>
    <s v="Sumit Kumar"/>
    <n v="18"/>
    <x v="14"/>
    <s v="Pfizer India"/>
    <s v="OXY1224X"/>
    <d v="2026-03-01T00:00:00"/>
    <n v="540"/>
    <x v="3"/>
  </r>
  <r>
    <x v="114"/>
    <s v="OTC"/>
    <s v="Ravi Dhaka"/>
    <n v="1"/>
    <x v="15"/>
    <s v="Abbott India"/>
    <s v="ENR0125/25"/>
    <d v="2026-02-01T00:00:00"/>
    <n v="40"/>
    <x v="3"/>
  </r>
  <r>
    <x v="114"/>
    <s v="Dr. Renu Bansal"/>
    <s v="Balbir Fageria"/>
    <n v="19"/>
    <x v="16"/>
    <s v="Sun Pharma"/>
    <s v="IVE1224A"/>
    <d v="2027-08-01T00:00:00"/>
    <n v="950"/>
    <x v="3"/>
  </r>
  <r>
    <x v="114"/>
    <s v="Dr. HC Dahiya"/>
    <s v="Sumitra Devi"/>
    <n v="28"/>
    <x v="0"/>
    <s v="Cipla"/>
    <s v="PAR1224A"/>
    <d v="2026-01-01T00:00:00"/>
    <n v="56"/>
    <x v="3"/>
  </r>
  <r>
    <x v="114"/>
    <s v="Dr. Rajesh Batra"/>
    <s v="Shishpal Sharma"/>
    <n v="25"/>
    <x v="1"/>
    <s v="Sun Pharma"/>
    <s v="IBU1224A"/>
    <d v="2026-03-01T00:00:00"/>
    <n v="75"/>
    <x v="3"/>
  </r>
  <r>
    <x v="115"/>
    <s v="Dr. Kamaljeet Sambhyl"/>
    <s v="Krishan Singh"/>
    <n v="16"/>
    <x v="2"/>
    <s v="Dr. Reddyâ€™s"/>
    <s v="AMO0325/25"/>
    <d v="2027-09-01T00:00:00"/>
    <n v="128"/>
    <x v="3"/>
  </r>
  <r>
    <x v="115"/>
    <s v="Dr. Vinay Singla"/>
    <s v="Pawan Khakhal"/>
    <n v="17"/>
    <x v="3"/>
    <s v="Zydus Cadila"/>
    <s v="CET0425X"/>
    <d v="2027-12-01T00:00:00"/>
    <n v="51"/>
    <x v="3"/>
  </r>
  <r>
    <x v="115"/>
    <s v="Dr. Ramphal Dhaka"/>
    <s v="Amar Burdak"/>
    <n v="15"/>
    <x v="4"/>
    <s v="Lupin"/>
    <s v="MET0125A"/>
    <d v="2027-03-01T00:00:00"/>
    <n v="60"/>
    <x v="3"/>
  </r>
  <r>
    <x v="115"/>
    <s v="Dr. Geeta Choudhary"/>
    <s v="Shyam Sunder"/>
    <n v="23"/>
    <x v="5"/>
    <s v="Torrent Pharma"/>
    <s v="AML0125B"/>
    <d v="2027-04-01T00:00:00"/>
    <n v="115"/>
    <x v="3"/>
  </r>
  <r>
    <x v="115"/>
    <s v="Dr. Virender Siwach"/>
    <s v="Amar Burdak"/>
    <n v="25"/>
    <x v="6"/>
    <s v="Alkem Laboratories"/>
    <s v="ATE1224C"/>
    <d v="2026-02-01T00:00:00"/>
    <n v="150"/>
    <x v="3"/>
  </r>
  <r>
    <x v="115"/>
    <s v="Dr. Anshul Sehgal"/>
    <s v="Ravi Dhaka"/>
    <n v="10"/>
    <x v="7"/>
    <s v="Cipla"/>
    <s v="SAL0125C"/>
    <d v="2026-09-01T00:00:00"/>
    <n v="40"/>
    <x v="3"/>
  </r>
  <r>
    <x v="115"/>
    <s v="OTC"/>
    <s v="Dinesh Sharma"/>
    <n v="15"/>
    <x v="8"/>
    <s v="Sun Pharma"/>
    <s v="DOX0325A"/>
    <d v="2026-05-01T00:00:00"/>
    <n v="150"/>
    <x v="3"/>
  </r>
  <r>
    <x v="115"/>
    <s v="Dr. Manohar Pahuja"/>
    <s v="Ramkla Devi"/>
    <n v="9"/>
    <x v="9"/>
    <s v="Mankind Pharma"/>
    <s v="PAN1224/25"/>
    <d v="2026-11-01T00:00:00"/>
    <n v="45"/>
    <x v="3"/>
  </r>
  <r>
    <x v="116"/>
    <s v="Dr. Geeta Choudhary"/>
    <s v="Umesh Kumar"/>
    <n v="11"/>
    <x v="10"/>
    <s v="GSK India"/>
    <s v="CRO0325B"/>
    <d v="2027-09-01T00:00:00"/>
    <n v="22"/>
    <x v="3"/>
  </r>
  <r>
    <x v="116"/>
    <s v="Dr. Geeta Choudhary"/>
    <s v="Krishan Singh"/>
    <n v="2"/>
    <x v="11"/>
    <s v="GSK India"/>
    <s v="ENO0425B"/>
    <d v="2026-05-01T00:00:00"/>
    <n v="20"/>
    <x v="3"/>
  </r>
  <r>
    <x v="116"/>
    <s v="Dr. HC Dahiya"/>
    <s v="Krishan Singh"/>
    <n v="2"/>
    <x v="12"/>
    <s v="Sanofi India"/>
    <s v="BET0225X"/>
    <d v="2026-06-01T00:00:00"/>
    <n v="240"/>
    <x v="3"/>
  </r>
  <r>
    <x v="116"/>
    <s v="Dr. Geeta Choudhary"/>
    <s v="Mohit Chaberwal"/>
    <n v="5"/>
    <x v="13"/>
    <s v="Mankind Pharma"/>
    <s v="ALB0325/25"/>
    <d v="2026-10-01T00:00:00"/>
    <n v="100"/>
    <x v="3"/>
  </r>
  <r>
    <x v="116"/>
    <s v="Dr. Vinay Singla"/>
    <s v="Naseeb Khakhal"/>
    <n v="4"/>
    <x v="14"/>
    <s v="Pfizer India"/>
    <s v="OXY0325B"/>
    <d v="2027-02-01T00:00:00"/>
    <n v="120"/>
    <x v="3"/>
  </r>
  <r>
    <x v="116"/>
    <s v="OTC"/>
    <s v="Tamanna Dhaka"/>
    <n v="28"/>
    <x v="15"/>
    <s v="Abbott India"/>
    <s v="ENR0225C"/>
    <d v="2027-02-01T00:00:00"/>
    <n v="1120"/>
    <x v="3"/>
  </r>
  <r>
    <x v="116"/>
    <s v="Dr. Kamaljeet Sambhyl"/>
    <s v="Balbir Fageria"/>
    <n v="30"/>
    <x v="16"/>
    <s v="Sun Pharma"/>
    <s v="IVE0125A"/>
    <d v="2026-08-01T00:00:00"/>
    <n v="1500"/>
    <x v="3"/>
  </r>
  <r>
    <x v="116"/>
    <s v="OTC"/>
    <s v="Sahil Chundwal"/>
    <n v="14"/>
    <x v="0"/>
    <s v="Cipla"/>
    <s v="PAR0225/25"/>
    <d v="2026-03-01T00:00:00"/>
    <n v="28"/>
    <x v="3"/>
  </r>
  <r>
    <x v="117"/>
    <s v="Dr. Ramphal Dhaka"/>
    <s v="Naseeb Khakhal"/>
    <n v="13"/>
    <x v="1"/>
    <s v="Sun Pharma"/>
    <s v="IBU0325/25"/>
    <d v="2027-11-01T00:00:00"/>
    <n v="39"/>
    <x v="3"/>
  </r>
  <r>
    <x v="117"/>
    <s v="OTC"/>
    <s v="Kuldeep Singh"/>
    <n v="15"/>
    <x v="2"/>
    <s v="Dr. Reddyâ€™s"/>
    <s v="AMO0425B"/>
    <d v="2027-12-01T00:00:00"/>
    <n v="120"/>
    <x v="3"/>
  </r>
  <r>
    <x v="117"/>
    <s v="Dr. Sameer Tuteja"/>
    <s v="Radhe Shaym"/>
    <n v="4"/>
    <x v="3"/>
    <s v="Zydus Cadila"/>
    <s v="CET0325A"/>
    <d v="2026-08-01T00:00:00"/>
    <n v="12"/>
    <x v="3"/>
  </r>
  <r>
    <x v="117"/>
    <s v="Dr. Amit Narang"/>
    <s v="Ramkla Devi"/>
    <n v="17"/>
    <x v="4"/>
    <s v="Lupin"/>
    <s v="MET1224/25"/>
    <d v="2026-08-01T00:00:00"/>
    <n v="68"/>
    <x v="3"/>
  </r>
  <r>
    <x v="117"/>
    <s v="Dr. Geeta Choudhary"/>
    <s v="Shyam Sunder"/>
    <n v="8"/>
    <x v="5"/>
    <s v="Torrent Pharma"/>
    <s v="AML0225/25"/>
    <d v="2027-08-01T00:00:00"/>
    <n v="40"/>
    <x v="3"/>
  </r>
  <r>
    <x v="117"/>
    <s v="Dr. Geeta Choudhary"/>
    <s v="Krishan Singh"/>
    <n v="17"/>
    <x v="6"/>
    <s v="Alkem Laboratories"/>
    <s v="ATE0225C"/>
    <d v="2026-06-01T00:00:00"/>
    <n v="102"/>
    <x v="3"/>
  </r>
  <r>
    <x v="117"/>
    <s v="Dr. Ramphal Dhaka"/>
    <s v="Umesh Kumar"/>
    <n v="28"/>
    <x v="7"/>
    <s v="Cipla"/>
    <s v="SAL0425A"/>
    <d v="2026-12-01T00:00:00"/>
    <n v="112"/>
    <x v="3"/>
  </r>
  <r>
    <x v="117"/>
    <s v="Dr. Sameer Tuteja"/>
    <s v="Sumitra Devi"/>
    <n v="20"/>
    <x v="8"/>
    <s v="Sun Pharma"/>
    <s v="DOX0425X"/>
    <d v="2027-11-01T00:00:00"/>
    <n v="200"/>
    <x v="3"/>
  </r>
  <r>
    <x v="118"/>
    <s v="Dr. Amit Narang"/>
    <s v="Umesh Kumar"/>
    <n v="18"/>
    <x v="9"/>
    <s v="Mankind Pharma"/>
    <s v="PAN0225B"/>
    <d v="2027-05-01T00:00:00"/>
    <n v="90"/>
    <x v="3"/>
  </r>
  <r>
    <x v="118"/>
    <s v="OTC"/>
    <s v="Kuldeep Singh"/>
    <n v="14"/>
    <x v="10"/>
    <s v="GSK India"/>
    <s v="CRO0125/25"/>
    <d v="2027-07-01T00:00:00"/>
    <n v="28"/>
    <x v="3"/>
  </r>
  <r>
    <x v="118"/>
    <s v="Dr. Rajesh Batra"/>
    <s v="Santosh Rani"/>
    <n v="28"/>
    <x v="11"/>
    <s v="GSK India"/>
    <s v="ENO0125A"/>
    <d v="2026-01-01T00:00:00"/>
    <n v="280"/>
    <x v="3"/>
  </r>
  <r>
    <x v="118"/>
    <s v="OTC"/>
    <s v="Baljinder Singh"/>
    <n v="2"/>
    <x v="12"/>
    <s v="Sanofi India"/>
    <s v="BET0225C"/>
    <d v="2027-07-01T00:00:00"/>
    <n v="240"/>
    <x v="3"/>
  </r>
  <r>
    <x v="118"/>
    <s v="OTC"/>
    <s v="Chander Bhan"/>
    <n v="11"/>
    <x v="13"/>
    <s v="Mankind Pharma"/>
    <s v="ALB0225A"/>
    <d v="2026-05-01T00:00:00"/>
    <n v="220"/>
    <x v="3"/>
  </r>
  <r>
    <x v="118"/>
    <s v="OTC"/>
    <s v="Ram Kumar"/>
    <n v="11"/>
    <x v="14"/>
    <s v="Pfizer India"/>
    <s v="OXY0425/25"/>
    <d v="2026-06-01T00:00:00"/>
    <n v="330"/>
    <x v="3"/>
  </r>
  <r>
    <x v="118"/>
    <s v="Dr. Amit Narang"/>
    <s v="Sanjay Riwar"/>
    <n v="16"/>
    <x v="15"/>
    <s v="Abbott India"/>
    <s v="ENR0125/25"/>
    <d v="2026-12-01T00:00:00"/>
    <n v="640"/>
    <x v="3"/>
  </r>
  <r>
    <x v="118"/>
    <s v="Dr. Amit Narang"/>
    <s v="Ramkla Devi"/>
    <n v="17"/>
    <x v="16"/>
    <s v="Sun Pharma"/>
    <s v="IVE0225C"/>
    <d v="2027-09-01T00:00:00"/>
    <n v="850"/>
    <x v="3"/>
  </r>
  <r>
    <x v="119"/>
    <s v="Dr. HC Dahiya"/>
    <s v="Hari Singh"/>
    <n v="22"/>
    <x v="0"/>
    <s v="Cipla"/>
    <s v="PAR0225X"/>
    <d v="2026-05-01T00:00:00"/>
    <n v="44"/>
    <x v="3"/>
  </r>
  <r>
    <x v="119"/>
    <s v="OTC"/>
    <s v="Brijlalal Dhaka"/>
    <n v="16"/>
    <x v="1"/>
    <s v="Sun Pharma"/>
    <s v="IBU0425X"/>
    <d v="2028-02-01T00:00:00"/>
    <n v="48"/>
    <x v="3"/>
  </r>
  <r>
    <x v="119"/>
    <s v="Dr. Renu Bansal"/>
    <s v="Umesh Kumar"/>
    <n v="9"/>
    <x v="2"/>
    <s v="Dr. Reddyâ€™s"/>
    <s v="AMO0325A"/>
    <d v="2027-01-01T00:00:00"/>
    <n v="72"/>
    <x v="3"/>
  </r>
  <r>
    <x v="119"/>
    <s v="OTC"/>
    <s v="Krishan Singh"/>
    <n v="10"/>
    <x v="3"/>
    <s v="Zydus Cadila"/>
    <s v="CET0225A"/>
    <d v="2027-12-01T00:00:00"/>
    <n v="30"/>
    <x v="3"/>
  </r>
  <r>
    <x v="119"/>
    <s v="Dr. HC Dahiya"/>
    <s v="Sahil Chundwal"/>
    <n v="1"/>
    <x v="4"/>
    <s v="Lupin"/>
    <s v="MET0125X"/>
    <d v="2026-11-01T00:00:00"/>
    <n v="4"/>
    <x v="3"/>
  </r>
  <r>
    <x v="119"/>
    <s v="OTC"/>
    <s v="Sanjay Riwar"/>
    <n v="14"/>
    <x v="5"/>
    <s v="Torrent Pharma"/>
    <s v="AML0225A"/>
    <d v="2027-02-01T00:00:00"/>
    <n v="70"/>
    <x v="3"/>
  </r>
  <r>
    <x v="119"/>
    <s v="Dr. Virender Siwach"/>
    <s v="Sumitra Devi"/>
    <n v="2"/>
    <x v="6"/>
    <s v="Alkem Laboratories"/>
    <s v="ATE0225C"/>
    <d v="2026-02-01T00:00:00"/>
    <n v="12"/>
    <x v="3"/>
  </r>
  <r>
    <x v="119"/>
    <s v="OTC"/>
    <s v="Amit Dhaka"/>
    <n v="12"/>
    <x v="7"/>
    <s v="Cipla"/>
    <s v="SAL0125A"/>
    <d v="2027-04-01T00:00:00"/>
    <n v="48"/>
    <x v="3"/>
  </r>
  <r>
    <x v="120"/>
    <s v="OTC"/>
    <s v="Ankit Bhadu"/>
    <n v="26"/>
    <x v="8"/>
    <s v="Sun Pharma"/>
    <s v="DOX0325X"/>
    <d v="2026-11-01T00:00:00"/>
    <n v="260"/>
    <x v="4"/>
  </r>
  <r>
    <x v="120"/>
    <s v="Dr. Sameer Tuteja"/>
    <s v="Sita Ram"/>
    <n v="13"/>
    <x v="9"/>
    <s v="Mankind Pharma"/>
    <s v="PAN1224X"/>
    <d v="2027-11-01T00:00:00"/>
    <n v="65"/>
    <x v="4"/>
  </r>
  <r>
    <x v="120"/>
    <s v="Dr. Geeta Choudhary"/>
    <s v="Raman Dhaka"/>
    <n v="26"/>
    <x v="10"/>
    <s v="GSK India"/>
    <s v="CRO0125/25"/>
    <d v="2027-01-01T00:00:00"/>
    <n v="52"/>
    <x v="4"/>
  </r>
  <r>
    <x v="120"/>
    <s v="Dr. HC Dahiya"/>
    <s v="Balbir Fageria"/>
    <n v="7"/>
    <x v="11"/>
    <s v="GSK India"/>
    <s v="ENO0225B"/>
    <d v="2027-09-01T00:00:00"/>
    <n v="70"/>
    <x v="4"/>
  </r>
  <r>
    <x v="120"/>
    <s v="Dr. Sameer Tuteja"/>
    <s v="Sanjay Riwar"/>
    <n v="30"/>
    <x v="12"/>
    <s v="Sanofi India"/>
    <s v="BET0125X"/>
    <d v="2026-07-01T00:00:00"/>
    <n v="3600"/>
    <x v="4"/>
  </r>
  <r>
    <x v="120"/>
    <s v="OTC"/>
    <s v="Ram Kumar"/>
    <n v="30"/>
    <x v="13"/>
    <s v="Mankind Pharma"/>
    <s v="ALB0125/25"/>
    <d v="2027-07-01T00:00:00"/>
    <n v="600"/>
    <x v="4"/>
  </r>
  <r>
    <x v="120"/>
    <s v="Dr. Kamaljeet Sambhyl"/>
    <s v="Kuldeep Singh"/>
    <n v="16"/>
    <x v="14"/>
    <s v="Pfizer India"/>
    <s v="OXY0325C"/>
    <d v="2026-04-01T00:00:00"/>
    <n v="480"/>
    <x v="4"/>
  </r>
  <r>
    <x v="120"/>
    <s v="OTC"/>
    <s v="Kuldeep Singh"/>
    <n v="6"/>
    <x v="15"/>
    <s v="Abbott India"/>
    <s v="ENR1224C"/>
    <d v="2027-05-01T00:00:00"/>
    <n v="240"/>
    <x v="4"/>
  </r>
  <r>
    <x v="121"/>
    <s v="Dr. Amit Narang"/>
    <s v="Naseeb Khakhal"/>
    <n v="1"/>
    <x v="16"/>
    <s v="Sun Pharma"/>
    <s v="IVE0125X"/>
    <d v="2026-04-01T00:00:00"/>
    <n v="50"/>
    <x v="4"/>
  </r>
  <r>
    <x v="121"/>
    <s v="OTC"/>
    <s v="Ankit Bhadu"/>
    <n v="8"/>
    <x v="0"/>
    <s v="Cipla"/>
    <s v="PAR0325C"/>
    <d v="2027-08-01T00:00:00"/>
    <n v="16"/>
    <x v="4"/>
  </r>
  <r>
    <x v="121"/>
    <s v="Dr. Sameer Tuteja"/>
    <s v="Sube Ram"/>
    <n v="1"/>
    <x v="1"/>
    <s v="Sun Pharma"/>
    <s v="IBU0325C"/>
    <d v="2027-04-01T00:00:00"/>
    <n v="3"/>
    <x v="4"/>
  </r>
  <r>
    <x v="121"/>
    <s v="OTC"/>
    <s v="Amit Dhaka"/>
    <n v="30"/>
    <x v="2"/>
    <s v="Dr. Reddyâ€™s"/>
    <s v="AMO1224B"/>
    <d v="2027-01-01T00:00:00"/>
    <n v="240"/>
    <x v="4"/>
  </r>
  <r>
    <x v="121"/>
    <s v="OTC"/>
    <s v="Krishan Singh"/>
    <n v="2"/>
    <x v="3"/>
    <s v="Zydus Cadila"/>
    <s v="CET0425C"/>
    <d v="2027-09-01T00:00:00"/>
    <n v="6"/>
    <x v="4"/>
  </r>
  <r>
    <x v="121"/>
    <s v="Dr. Kamaljeet Sambhyl"/>
    <s v="Sube Ram"/>
    <n v="9"/>
    <x v="4"/>
    <s v="Lupin"/>
    <s v="MET0425C"/>
    <d v="2026-10-01T00:00:00"/>
    <n v="36"/>
    <x v="4"/>
  </r>
  <r>
    <x v="121"/>
    <s v="Dr. Amit Narang"/>
    <s v="Shishpal Sharma"/>
    <n v="2"/>
    <x v="5"/>
    <s v="Torrent Pharma"/>
    <s v="AML0225A"/>
    <d v="2026-08-01T00:00:00"/>
    <n v="10"/>
    <x v="4"/>
  </r>
  <r>
    <x v="121"/>
    <s v="Dr. Vinay Singla"/>
    <s v="Sanjay Riwar"/>
    <n v="29"/>
    <x v="6"/>
    <s v="Alkem Laboratories"/>
    <s v="ATE1224A"/>
    <d v="2027-11-01T00:00:00"/>
    <n v="174"/>
    <x v="4"/>
  </r>
  <r>
    <x v="122"/>
    <s v="Dr. Anshul Sehgal"/>
    <s v="Brijlalal Dhaka"/>
    <n v="20"/>
    <x v="7"/>
    <s v="Cipla"/>
    <s v="SAL0125C"/>
    <d v="2026-05-01T00:00:00"/>
    <n v="80"/>
    <x v="4"/>
  </r>
  <r>
    <x v="122"/>
    <s v="OTC"/>
    <s v="Chander Bhan"/>
    <n v="5"/>
    <x v="8"/>
    <s v="Sun Pharma"/>
    <s v="DOX0125/25"/>
    <d v="2027-09-01T00:00:00"/>
    <n v="50"/>
    <x v="4"/>
  </r>
  <r>
    <x v="122"/>
    <s v="OTC"/>
    <s v="Chander Bhan"/>
    <n v="24"/>
    <x v="9"/>
    <s v="Mankind Pharma"/>
    <s v="PAN1224X"/>
    <d v="2026-08-01T00:00:00"/>
    <n v="120"/>
    <x v="4"/>
  </r>
  <r>
    <x v="122"/>
    <s v="Dr. Renu Bansal"/>
    <s v="Tamanna Dhaka"/>
    <n v="14"/>
    <x v="10"/>
    <s v="GSK India"/>
    <s v="CRO0225A"/>
    <d v="2027-06-01T00:00:00"/>
    <n v="28"/>
    <x v="4"/>
  </r>
  <r>
    <x v="122"/>
    <s v="Dr. HC Dahiya"/>
    <s v="Sita Ram"/>
    <n v="27"/>
    <x v="11"/>
    <s v="GSK India"/>
    <s v="ENO0125A"/>
    <d v="2027-04-01T00:00:00"/>
    <n v="270"/>
    <x v="4"/>
  </r>
  <r>
    <x v="122"/>
    <s v="OTC"/>
    <s v="Yogesh Khicher"/>
    <n v="12"/>
    <x v="12"/>
    <s v="Sanofi India"/>
    <s v="BET0225X"/>
    <d v="2026-06-01T00:00:00"/>
    <n v="1440"/>
    <x v="4"/>
  </r>
  <r>
    <x v="122"/>
    <s v="Dr. Virender Siwach"/>
    <s v="Chander Bhan"/>
    <n v="9"/>
    <x v="13"/>
    <s v="Mankind Pharma"/>
    <s v="ALB0425A"/>
    <d v="2026-06-01T00:00:00"/>
    <n v="180"/>
    <x v="4"/>
  </r>
  <r>
    <x v="122"/>
    <s v="Dr. Ramphal Dhaka"/>
    <s v="Sumit Kumar"/>
    <n v="6"/>
    <x v="14"/>
    <s v="Pfizer India"/>
    <s v="OXY0325/25"/>
    <d v="2026-05-01T00:00:00"/>
    <n v="180"/>
    <x v="4"/>
  </r>
  <r>
    <x v="123"/>
    <s v="OTC"/>
    <s v="Ram Kumar"/>
    <n v="10"/>
    <x v="15"/>
    <s v="Abbott India"/>
    <s v="ENR0325/25"/>
    <d v="2028-02-01T00:00:00"/>
    <n v="400"/>
    <x v="4"/>
  </r>
  <r>
    <x v="123"/>
    <s v="Dr. Renu Bansal"/>
    <s v="Ramkla Devi"/>
    <n v="12"/>
    <x v="16"/>
    <s v="Sun Pharma"/>
    <s v="IVE0325/25"/>
    <d v="2026-06-01T00:00:00"/>
    <n v="600"/>
    <x v="4"/>
  </r>
  <r>
    <x v="123"/>
    <s v="Dr. Geeta Choudhary"/>
    <s v="Sube Ram"/>
    <n v="24"/>
    <x v="0"/>
    <s v="Cipla"/>
    <s v="PAR0425/25"/>
    <d v="2027-07-01T00:00:00"/>
    <n v="48"/>
    <x v="4"/>
  </r>
  <r>
    <x v="123"/>
    <s v="Dr. Anshul Sehgal"/>
    <s v="Mandeep Kumar"/>
    <n v="13"/>
    <x v="1"/>
    <s v="Sun Pharma"/>
    <s v="IBU1224C"/>
    <d v="2027-03-01T00:00:00"/>
    <n v="39"/>
    <x v="4"/>
  </r>
  <r>
    <x v="123"/>
    <s v="Dr. Anshul Sehgal"/>
    <s v="Dinesh Sharma"/>
    <n v="14"/>
    <x v="2"/>
    <s v="Dr. Reddyâ€™s"/>
    <s v="AMO1224C"/>
    <d v="2027-04-01T00:00:00"/>
    <n v="112"/>
    <x v="4"/>
  </r>
  <r>
    <x v="123"/>
    <s v="Dr. Sameer Tuteja"/>
    <s v="Ankit Bhadu"/>
    <n v="10"/>
    <x v="3"/>
    <s v="Zydus Cadila"/>
    <s v="CET0225C"/>
    <d v="2026-10-01T00:00:00"/>
    <n v="30"/>
    <x v="4"/>
  </r>
  <r>
    <x v="123"/>
    <s v="Dr. Geeta Choudhary"/>
    <s v="Hari Singh"/>
    <n v="27"/>
    <x v="4"/>
    <s v="Lupin"/>
    <s v="MET0425/25"/>
    <d v="2026-07-01T00:00:00"/>
    <n v="108"/>
    <x v="4"/>
  </r>
  <r>
    <x v="123"/>
    <s v="OTC"/>
    <s v="Randhir Fageria"/>
    <n v="19"/>
    <x v="5"/>
    <s v="Torrent Pharma"/>
    <s v="AML0225B"/>
    <d v="2027-09-01T00:00:00"/>
    <n v="95"/>
    <x v="4"/>
  </r>
  <r>
    <x v="124"/>
    <s v="Dr. Manohar Pahuja"/>
    <s v="Sumitra Devi"/>
    <n v="15"/>
    <x v="6"/>
    <s v="Alkem Laboratories"/>
    <s v="ATE0225X"/>
    <d v="2026-10-01T00:00:00"/>
    <n v="90"/>
    <x v="4"/>
  </r>
  <r>
    <x v="124"/>
    <s v="Dr. HC Dahiya"/>
    <s v="Randhir Fageria"/>
    <n v="17"/>
    <x v="7"/>
    <s v="Cipla"/>
    <s v="SAL0225/25"/>
    <d v="2027-08-01T00:00:00"/>
    <n v="68"/>
    <x v="4"/>
  </r>
  <r>
    <x v="124"/>
    <s v="OTC"/>
    <s v="Brijlalal Dhaka"/>
    <n v="2"/>
    <x v="8"/>
    <s v="Sun Pharma"/>
    <s v="DOX0425X"/>
    <d v="2027-03-01T00:00:00"/>
    <n v="20"/>
    <x v="4"/>
  </r>
  <r>
    <x v="124"/>
    <s v="Dr. Amit Narang"/>
    <s v="Krishan Singh"/>
    <n v="5"/>
    <x v="9"/>
    <s v="Mankind Pharma"/>
    <s v="PAN1224B"/>
    <d v="2026-09-01T00:00:00"/>
    <n v="25"/>
    <x v="4"/>
  </r>
  <r>
    <x v="124"/>
    <s v="Dr. Sameer Tuteja"/>
    <s v="Krishan Singh"/>
    <n v="29"/>
    <x v="10"/>
    <s v="GSK India"/>
    <s v="CRO0225X"/>
    <d v="2027-12-01T00:00:00"/>
    <n v="58"/>
    <x v="4"/>
  </r>
  <r>
    <x v="124"/>
    <s v="Dr. Anshul Sehgal"/>
    <s v="Naseeb Khakhal"/>
    <n v="9"/>
    <x v="11"/>
    <s v="GSK India"/>
    <s v="ENO0425B"/>
    <d v="2028-03-01T00:00:00"/>
    <n v="90"/>
    <x v="4"/>
  </r>
  <r>
    <x v="124"/>
    <s v="Dr. Ramphal Dhaka"/>
    <s v="Shishpal Sharma"/>
    <n v="18"/>
    <x v="12"/>
    <s v="Sanofi India"/>
    <s v="BET0325A"/>
    <d v="2027-04-01T00:00:00"/>
    <n v="2160"/>
    <x v="4"/>
  </r>
  <r>
    <x v="124"/>
    <s v="Dr. Satbir Khumber"/>
    <s v="Krishan Singh"/>
    <n v="16"/>
    <x v="13"/>
    <s v="Mankind Pharma"/>
    <s v="ALB0325B"/>
    <d v="2027-12-01T00:00:00"/>
    <n v="320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d v="2025-01-01T00:00:00"/>
    <s v="OTC"/>
    <s v="Amar Burdak"/>
    <n v="23"/>
    <x v="0"/>
    <s v="Cipla"/>
    <s v="PAR0325/25"/>
    <d v="2026-03-01T00:00:00"/>
    <n v="46"/>
    <s v="January"/>
  </r>
  <r>
    <d v="2025-01-01T00:00:00"/>
    <s v="OTC"/>
    <s v="Santosh Rani"/>
    <n v="15"/>
    <x v="1"/>
    <s v="Sun Pharma"/>
    <s v="IBU1224A"/>
    <d v="2026-01-01T00:00:00"/>
    <n v="45"/>
    <s v="January"/>
  </r>
  <r>
    <d v="2025-01-01T00:00:00"/>
    <s v="Dr. Anshul Sehgal"/>
    <s v="Sanjay Riwar"/>
    <n v="22"/>
    <x v="2"/>
    <s v="Dr. Reddyâ€™s"/>
    <s v="AMO0425/25"/>
    <d v="2027-01-01T00:00:00"/>
    <n v="176"/>
    <s v="January"/>
  </r>
  <r>
    <d v="2025-01-01T00:00:00"/>
    <s v="Dr. Ramphal Dhaka"/>
    <s v="Balbir Fageria"/>
    <n v="28"/>
    <x v="3"/>
    <s v="Zydus Cadila"/>
    <s v="CET0425B"/>
    <d v="2027-09-01T00:00:00"/>
    <n v="84"/>
    <s v="January"/>
  </r>
  <r>
    <d v="2025-01-01T00:00:00"/>
    <s v="OTC"/>
    <s v="Amar Burdak"/>
    <n v="30"/>
    <x v="4"/>
    <s v="Lupin"/>
    <s v="MET0125X"/>
    <d v="2026-07-01T00:00:00"/>
    <n v="120"/>
    <s v="January"/>
  </r>
  <r>
    <d v="2025-01-01T00:00:00"/>
    <s v="Dr. Geeta Choudhary"/>
    <s v="Shyam Sunder"/>
    <n v="30"/>
    <x v="5"/>
    <s v="Torrent Pharma"/>
    <s v="AML0125A"/>
    <d v="2027-12-01T00:00:00"/>
    <n v="150"/>
    <s v="January"/>
  </r>
  <r>
    <d v="2025-01-01T00:00:00"/>
    <s v="OTC"/>
    <s v="Sanjay Riwar"/>
    <n v="21"/>
    <x v="6"/>
    <s v="Alkem Laboratories"/>
    <s v="ATE1224X"/>
    <d v="2027-11-01T00:00:00"/>
    <n v="126"/>
    <s v="January"/>
  </r>
  <r>
    <d v="2025-01-01T00:00:00"/>
    <s v="Dr. Vinay Singla"/>
    <s v="Krishan Singh"/>
    <n v="10"/>
    <x v="7"/>
    <s v="Cipla"/>
    <s v="SAL0125A"/>
    <d v="2027-06-01T00:00:00"/>
    <n v="40"/>
    <s v="January"/>
  </r>
  <r>
    <d v="2025-02-01T00:00:00"/>
    <s v="Dr. Sameer Tuteja"/>
    <s v="Dinesh Sharma"/>
    <n v="12"/>
    <x v="8"/>
    <s v="Sun Pharma"/>
    <s v="DOX0325A"/>
    <d v="2027-05-01T00:00:00"/>
    <n v="120"/>
    <s v="January"/>
  </r>
  <r>
    <d v="2025-02-01T00:00:00"/>
    <s v="Dr. Kamaljeet Sambhyl"/>
    <s v="Manisha Rani"/>
    <n v="8"/>
    <x v="9"/>
    <s v="Mankind Pharma"/>
    <s v="PAN0125X"/>
    <d v="2026-07-01T00:00:00"/>
    <n v="40"/>
    <s v="January"/>
  </r>
  <r>
    <d v="2025-02-01T00:00:00"/>
    <s v="Dr. Ramphal Dhaka"/>
    <s v="Dinesh Sharma"/>
    <n v="29"/>
    <x v="10"/>
    <s v="GSK India"/>
    <s v="CRO0125C"/>
    <d v="2026-07-01T00:00:00"/>
    <n v="58"/>
    <s v="January"/>
  </r>
  <r>
    <d v="2025-02-01T00:00:00"/>
    <s v="Dr. Sameer Tuteja"/>
    <s v="Sube Ram"/>
    <n v="10"/>
    <x v="11"/>
    <s v="GSK India"/>
    <s v="ENO0225/25"/>
    <d v="2026-05-01T00:00:00"/>
    <n v="100"/>
    <s v="January"/>
  </r>
  <r>
    <d v="2025-02-01T00:00:00"/>
    <s v="Dr. Amit Narang"/>
    <s v="Sumit Kumar"/>
    <n v="13"/>
    <x v="12"/>
    <s v="Sanofi India"/>
    <s v="BET0125/25"/>
    <d v="2026-09-01T00:00:00"/>
    <n v="840"/>
    <s v="January"/>
  </r>
  <r>
    <d v="2025-02-01T00:00:00"/>
    <s v="OTC"/>
    <s v="Balbir Fageria"/>
    <n v="14"/>
    <x v="13"/>
    <s v="Mankind Pharma"/>
    <s v="ALB0325C"/>
    <d v="2027-03-01T00:00:00"/>
    <n v="840"/>
    <s v="January"/>
  </r>
  <r>
    <d v="2025-02-01T00:00:00"/>
    <s v="Dr. HC Dahiya"/>
    <s v="Naresh Didharia"/>
    <n v="28"/>
    <x v="14"/>
    <s v="Pfizer India"/>
    <s v="OXY0425/25"/>
    <d v="2027-12-01T00:00:00"/>
    <n v="840"/>
    <s v="January"/>
  </r>
  <r>
    <d v="2025-02-01T00:00:00"/>
    <s v="Dr. Ramphal Dhaka"/>
    <s v="Hari Singh"/>
    <n v="23"/>
    <x v="15"/>
    <s v="Abbott India"/>
    <s v="ENR0225A"/>
    <d v="2027-12-01T00:00:00"/>
    <n v="920"/>
    <s v="January"/>
  </r>
  <r>
    <d v="2025-03-01T00:00:00"/>
    <s v="OTC"/>
    <s v="Brijlalal Dhaka"/>
    <n v="25"/>
    <x v="16"/>
    <s v="Sun Pharma"/>
    <s v="IVE1224C"/>
    <d v="2027-11-01T00:00:00"/>
    <n v="1250"/>
    <s v="January"/>
  </r>
  <r>
    <d v="2025-03-01T00:00:00"/>
    <s v="Dr. Anshul Sehgal"/>
    <s v="Hari Singh"/>
    <n v="13"/>
    <x v="0"/>
    <s v="Cipla"/>
    <s v="PAR1224C"/>
    <d v="2027-05-01T00:00:00"/>
    <n v="26"/>
    <s v="January"/>
  </r>
  <r>
    <d v="2025-03-01T00:00:00"/>
    <s v="Dr. Anshul Sehgal"/>
    <s v="Shishpal Sharma"/>
    <n v="26"/>
    <x v="1"/>
    <s v="Sun Pharma"/>
    <s v="IBU0425/25"/>
    <d v="2027-03-01T00:00:00"/>
    <n v="78"/>
    <s v="January"/>
  </r>
  <r>
    <d v="2025-03-01T00:00:00"/>
    <s v="Dr. Virender Siwach"/>
    <s v="Sumit Kumar"/>
    <n v="4"/>
    <x v="2"/>
    <s v="Dr. Reddyâ€™s"/>
    <s v="AMO0225/25"/>
    <d v="2026-05-01T00:00:00"/>
    <n v="32"/>
    <s v="January"/>
  </r>
  <r>
    <d v="2025-03-01T00:00:00"/>
    <s v="Dr. Anshul Sehgal"/>
    <s v="Brijlalal Dhaka"/>
    <n v="10"/>
    <x v="3"/>
    <s v="Zydus Cadila"/>
    <s v="CET0225/25"/>
    <d v="2026-11-01T00:00:00"/>
    <n v="30"/>
    <s v="January"/>
  </r>
  <r>
    <d v="2025-03-01T00:00:00"/>
    <s v="OTC"/>
    <s v="Ravi Dhaka"/>
    <n v="11"/>
    <x v="4"/>
    <s v="Lupin"/>
    <s v="MET0425X"/>
    <d v="2028-03-01T00:00:00"/>
    <n v="44"/>
    <s v="January"/>
  </r>
  <r>
    <d v="2025-03-01T00:00:00"/>
    <s v="Dr. Manohar Pahuja"/>
    <s v="Shyam Sunder"/>
    <n v="20"/>
    <x v="5"/>
    <s v="Torrent Pharma"/>
    <s v="AML0225X"/>
    <d v="2026-03-01T00:00:00"/>
    <n v="100"/>
    <s v="January"/>
  </r>
  <r>
    <d v="2025-03-01T00:00:00"/>
    <s v="Dr. Virender Siwach"/>
    <s v="Naresh Didharia"/>
    <n v="12"/>
    <x v="6"/>
    <s v="Alkem Laboratories"/>
    <s v="ATE0125X"/>
    <d v="2026-03-01T00:00:00"/>
    <n v="72"/>
    <s v="January"/>
  </r>
  <r>
    <d v="2025-04-01T00:00:00"/>
    <s v="OTC"/>
    <s v="Mandeep Kumar"/>
    <n v="21"/>
    <x v="7"/>
    <s v="Cipla"/>
    <s v="SAL0225B"/>
    <d v="2028-01-01T00:00:00"/>
    <n v="84"/>
    <s v="January"/>
  </r>
  <r>
    <d v="2025-04-01T00:00:00"/>
    <s v="Dr. Rajesh Batra"/>
    <s v="Krishan Singh"/>
    <n v="21"/>
    <x v="8"/>
    <s v="Sun Pharma"/>
    <s v="DOX1224/25"/>
    <d v="2027-06-01T00:00:00"/>
    <n v="210"/>
    <s v="January"/>
  </r>
  <r>
    <d v="2025-04-01T00:00:00"/>
    <s v="Dr. Renu Bansal"/>
    <s v="Amar Burdak"/>
    <n v="28"/>
    <x v="9"/>
    <s v="Mankind Pharma"/>
    <s v="PAN1224A"/>
    <d v="2026-08-01T00:00:00"/>
    <n v="140"/>
    <s v="January"/>
  </r>
  <r>
    <d v="2025-04-01T00:00:00"/>
    <s v="Dr. Anshul Sehgal"/>
    <s v="Amar Burdak"/>
    <n v="14"/>
    <x v="10"/>
    <s v="GSK India"/>
    <s v="CRO0225X"/>
    <d v="2027-11-01T00:00:00"/>
    <n v="28"/>
    <s v="January"/>
  </r>
  <r>
    <d v="2025-04-01T00:00:00"/>
    <s v="Dr. Vinay Singla"/>
    <s v="Sumit Kumar"/>
    <n v="7"/>
    <x v="11"/>
    <s v="GSK India"/>
    <s v="ENO0325C"/>
    <d v="2027-04-01T00:00:00"/>
    <n v="70"/>
    <s v="January"/>
  </r>
  <r>
    <d v="2025-04-01T00:00:00"/>
    <s v="Dr. Ramphal Dhaka"/>
    <s v="Krishan Singh"/>
    <n v="14"/>
    <x v="12"/>
    <s v="Sanofi India"/>
    <s v="BET0125C"/>
    <d v="2027-07-01T00:00:00"/>
    <n v="1680"/>
    <s v="January"/>
  </r>
  <r>
    <d v="2025-04-01T00:00:00"/>
    <s v="Dr. Satbir Khumber"/>
    <s v="Shyam Sunder"/>
    <n v="29"/>
    <x v="13"/>
    <s v="Mankind Pharma"/>
    <s v="ALB0225X"/>
    <d v="2027-05-01T00:00:00"/>
    <n v="580"/>
    <s v="January"/>
  </r>
  <r>
    <d v="2025-04-01T00:00:00"/>
    <s v="Dr. Vinay Singla"/>
    <s v="Amit Dhaka"/>
    <n v="27"/>
    <x v="14"/>
    <s v="Pfizer India"/>
    <s v="OXY1224C"/>
    <d v="2026-09-01T00:00:00"/>
    <n v="810"/>
    <s v="January"/>
  </r>
  <r>
    <d v="2025-05-01T00:00:00"/>
    <s v="Dr. Satbir Khumber"/>
    <s v="Mohit Chaberwal"/>
    <n v="27"/>
    <x v="15"/>
    <s v="Abbott India"/>
    <s v="ENR0325/25"/>
    <d v="2027-06-01T00:00:00"/>
    <n v="1080"/>
    <s v="January"/>
  </r>
  <r>
    <d v="2025-05-01T00:00:00"/>
    <s v="Dr. Anshul Sehgal"/>
    <s v="Radhe Shaym"/>
    <n v="4"/>
    <x v="16"/>
    <s v="Sun Pharma"/>
    <s v="IVE0125A"/>
    <d v="2027-03-01T00:00:00"/>
    <n v="200"/>
    <s v="January"/>
  </r>
  <r>
    <d v="2025-05-01T00:00:00"/>
    <s v="Dr. Manohar Pahuja"/>
    <s v="Ravi Dhaka"/>
    <n v="20"/>
    <x v="0"/>
    <s v="Cipla"/>
    <s v="PAR0125C"/>
    <d v="2027-10-01T00:00:00"/>
    <n v="40"/>
    <s v="January"/>
  </r>
  <r>
    <d v="2025-05-01T00:00:00"/>
    <s v="Dr. Virender Siwach"/>
    <s v="Naresh Didharia"/>
    <n v="9"/>
    <x v="1"/>
    <s v="Sun Pharma"/>
    <s v="IBU0225X"/>
    <d v="2027-02-01T00:00:00"/>
    <n v="27"/>
    <s v="January"/>
  </r>
  <r>
    <d v="2025-05-01T00:00:00"/>
    <s v="OTC"/>
    <s v="Randhir Fageria"/>
    <n v="24"/>
    <x v="2"/>
    <s v="Dr. Reddyâ€™s"/>
    <s v="AMO0425C"/>
    <d v="2027-05-01T00:00:00"/>
    <n v="192"/>
    <s v="January"/>
  </r>
  <r>
    <d v="2025-05-01T00:00:00"/>
    <s v="Dr. Geeta Choudhary"/>
    <s v="Mohit Chaberwal"/>
    <n v="17"/>
    <x v="3"/>
    <s v="Zydus Cadila"/>
    <s v="CET0125/25"/>
    <d v="2027-04-01T00:00:00"/>
    <n v="51"/>
    <s v="January"/>
  </r>
  <r>
    <d v="2025-05-01T00:00:00"/>
    <s v="OTC"/>
    <s v="Krishan Singh"/>
    <n v="4"/>
    <x v="4"/>
    <s v="Lupin"/>
    <s v="MET0125C"/>
    <d v="2027-12-01T00:00:00"/>
    <n v="16"/>
    <s v="January"/>
  </r>
  <r>
    <d v="2025-05-01T00:00:00"/>
    <s v="Dr. Manohar Pahuja"/>
    <s v="Dinesh Sharma"/>
    <n v="12"/>
    <x v="5"/>
    <s v="Torrent Pharma"/>
    <s v="AML0425C"/>
    <d v="2026-06-01T00:00:00"/>
    <n v="60"/>
    <s v="January"/>
  </r>
  <r>
    <d v="2025-06-01T00:00:00"/>
    <s v="Dr. Manohar Pahuja"/>
    <s v="Naseeb Khakhal"/>
    <n v="8"/>
    <x v="6"/>
    <s v="Alkem Laboratories"/>
    <s v="ATE0125A"/>
    <d v="2027-06-01T00:00:00"/>
    <n v="48"/>
    <s v="January"/>
  </r>
  <r>
    <d v="2025-06-01T00:00:00"/>
    <s v="Dr. Vinay Singla"/>
    <s v="Santosh Rani"/>
    <n v="10"/>
    <x v="7"/>
    <s v="Cipla"/>
    <s v="SAL0125A"/>
    <d v="2027-05-01T00:00:00"/>
    <n v="40"/>
    <s v="January"/>
  </r>
  <r>
    <d v="2025-06-01T00:00:00"/>
    <s v="Dr. Anshul Sehgal"/>
    <s v="Santosh Rani"/>
    <n v="20"/>
    <x v="8"/>
    <s v="Sun Pharma"/>
    <s v="DOX0325C"/>
    <d v="2026-03-01T00:00:00"/>
    <n v="200"/>
    <s v="January"/>
  </r>
  <r>
    <d v="2025-06-01T00:00:00"/>
    <s v="Dr. Amit Narang"/>
    <s v="Sumit Kumar"/>
    <n v="10"/>
    <x v="9"/>
    <s v="Mankind Pharma"/>
    <s v="PAN0325/25"/>
    <d v="2027-01-01T00:00:00"/>
    <n v="50"/>
    <s v="January"/>
  </r>
  <r>
    <d v="2025-06-01T00:00:00"/>
    <s v="Dr. Ramphal Dhaka"/>
    <s v="Ravi Dhaka"/>
    <n v="2"/>
    <x v="10"/>
    <s v="GSK India"/>
    <s v="CRO0325B"/>
    <d v="2027-03-01T00:00:00"/>
    <n v="4"/>
    <s v="January"/>
  </r>
  <r>
    <d v="2025-06-01T00:00:00"/>
    <s v="Dr. Amit Narang"/>
    <s v="Brijlalal Dhaka"/>
    <n v="9"/>
    <x v="11"/>
    <s v="GSK India"/>
    <s v="ENO1224/25"/>
    <d v="2027-05-01T00:00:00"/>
    <n v="90"/>
    <s v="January"/>
  </r>
  <r>
    <d v="2025-06-01T00:00:00"/>
    <s v="OTC"/>
    <s v="Sanjay Riwar"/>
    <n v="2"/>
    <x v="12"/>
    <s v="Sanofi India"/>
    <s v="BET0125A"/>
    <d v="2027-09-01T00:00:00"/>
    <n v="240"/>
    <s v="January"/>
  </r>
  <r>
    <d v="2025-06-01T00:00:00"/>
    <s v="OTC"/>
    <s v="Ramkla Devi"/>
    <n v="11"/>
    <x v="13"/>
    <s v="Mankind Pharma"/>
    <s v="ALB0225C"/>
    <d v="2027-06-01T00:00:00"/>
    <n v="220"/>
    <s v="January"/>
  </r>
  <r>
    <d v="2025-07-01T00:00:00"/>
    <s v="OTC"/>
    <s v="Ravi Dhaka"/>
    <n v="30"/>
    <x v="14"/>
    <s v="Pfizer India"/>
    <s v="OXY0125C"/>
    <d v="2027-02-01T00:00:00"/>
    <n v="900"/>
    <s v="January"/>
  </r>
  <r>
    <d v="2025-07-01T00:00:00"/>
    <s v="Dr. Satbir Khumber"/>
    <s v="Shyam Sunder"/>
    <n v="6"/>
    <x v="15"/>
    <s v="Abbott India"/>
    <s v="ENR0125C"/>
    <d v="2027-04-01T00:00:00"/>
    <n v="240"/>
    <s v="January"/>
  </r>
  <r>
    <d v="2025-07-01T00:00:00"/>
    <s v="Dr. Manohar Pahuja"/>
    <s v="Manisha Rani"/>
    <n v="15"/>
    <x v="16"/>
    <s v="Sun Pharma"/>
    <s v="IVE0125X"/>
    <d v="2026-05-01T00:00:00"/>
    <n v="750"/>
    <s v="January"/>
  </r>
  <r>
    <d v="2025-07-01T00:00:00"/>
    <s v="Dr. Amit Narang"/>
    <s v="Brijlalal Dhaka"/>
    <n v="25"/>
    <x v="0"/>
    <s v="Cipla"/>
    <s v="PAR0125A"/>
    <d v="2026-12-01T00:00:00"/>
    <n v="50"/>
    <s v="January"/>
  </r>
  <r>
    <d v="2025-07-01T00:00:00"/>
    <s v="Dr. Amit Narang"/>
    <s v="Ankit Bhadu"/>
    <n v="29"/>
    <x v="1"/>
    <s v="Sun Pharma"/>
    <s v="IBU0125X"/>
    <d v="2026-06-01T00:00:00"/>
    <n v="87"/>
    <s v="January"/>
  </r>
  <r>
    <d v="2025-07-01T00:00:00"/>
    <s v="Dr. Satbir Khumber"/>
    <s v="Brijlalal Dhaka"/>
    <n v="1"/>
    <x v="2"/>
    <s v="Dr. Reddyâ€™s"/>
    <s v="AMO0225C"/>
    <d v="2026-10-01T00:00:00"/>
    <n v="8"/>
    <s v="January"/>
  </r>
  <r>
    <d v="2025-07-01T00:00:00"/>
    <s v="Dr. Kamaljeet Sambhyl"/>
    <s v="Umesh Kumar"/>
    <n v="20"/>
    <x v="3"/>
    <s v="Zydus Cadila"/>
    <s v="CET0425/25"/>
    <d v="2027-07-01T00:00:00"/>
    <n v="60"/>
    <s v="January"/>
  </r>
  <r>
    <d v="2025-07-01T00:00:00"/>
    <s v="Dr. Satbir Khumber"/>
    <s v="Ankit Bhadu"/>
    <n v="9"/>
    <x v="4"/>
    <s v="Lupin"/>
    <s v="MET0325/25"/>
    <d v="2026-11-01T00:00:00"/>
    <n v="36"/>
    <s v="January"/>
  </r>
  <r>
    <d v="2025-08-01T00:00:00"/>
    <s v="Dr. Renu Bansal"/>
    <s v="Kuldeep Singh"/>
    <n v="23"/>
    <x v="5"/>
    <s v="Torrent Pharma"/>
    <s v="AML1224/25"/>
    <d v="2027-03-01T00:00:00"/>
    <n v="115"/>
    <s v="January"/>
  </r>
  <r>
    <d v="2025-08-01T00:00:00"/>
    <s v="Dr. Renu Bansal"/>
    <s v="Amit Dhaka"/>
    <n v="17"/>
    <x v="6"/>
    <s v="Alkem Laboratories"/>
    <s v="ATE0425B"/>
    <d v="2027-07-01T00:00:00"/>
    <n v="102"/>
    <s v="January"/>
  </r>
  <r>
    <d v="2025-08-01T00:00:00"/>
    <s v="OTC"/>
    <s v="Ankit Bhadu"/>
    <n v="22"/>
    <x v="7"/>
    <s v="Cipla"/>
    <s v="SAL0325/25"/>
    <d v="2026-11-01T00:00:00"/>
    <n v="88"/>
    <s v="January"/>
  </r>
  <r>
    <d v="2025-08-01T00:00:00"/>
    <s v="Dr. Amit Narang"/>
    <s v="Naresh Didharia"/>
    <n v="2"/>
    <x v="8"/>
    <s v="Sun Pharma"/>
    <s v="DOX0225/25"/>
    <d v="2026-08-01T00:00:00"/>
    <n v="20"/>
    <s v="January"/>
  </r>
  <r>
    <d v="2025-08-01T00:00:00"/>
    <s v="Dr. Sameer Tuteja"/>
    <s v="Naresh Didharia"/>
    <n v="17"/>
    <x v="9"/>
    <s v="Mankind Pharma"/>
    <s v="PAN0125A"/>
    <d v="2027-04-01T00:00:00"/>
    <n v="85"/>
    <s v="January"/>
  </r>
  <r>
    <d v="2025-08-01T00:00:00"/>
    <s v="Dr. HC Dahiya"/>
    <s v="Randhir Fageria"/>
    <n v="25"/>
    <x v="10"/>
    <s v="GSK India"/>
    <s v="CRO0225C"/>
    <d v="2026-07-01T00:00:00"/>
    <n v="50"/>
    <s v="January"/>
  </r>
  <r>
    <d v="2025-08-01T00:00:00"/>
    <s v="Dr. Kamaljeet Sambhyl"/>
    <s v="Naresh Didharia"/>
    <n v="24"/>
    <x v="11"/>
    <s v="GSK India"/>
    <s v="ENO1224X"/>
    <d v="2026-04-01T00:00:00"/>
    <n v="240"/>
    <s v="January"/>
  </r>
  <r>
    <d v="2025-08-01T00:00:00"/>
    <s v="Dr. Sameer Tuteja"/>
    <s v="Raman Dhaka"/>
    <n v="30"/>
    <x v="12"/>
    <s v="Sanofi India"/>
    <s v="BET0325/25"/>
    <d v="2026-10-01T00:00:00"/>
    <n v="3600"/>
    <s v="January"/>
  </r>
  <r>
    <d v="2025-09-01T00:00:00"/>
    <s v="OTC"/>
    <s v="Santosh Rani"/>
    <n v="27"/>
    <x v="13"/>
    <s v="Mankind Pharma"/>
    <s v="ALB0125X"/>
    <d v="2027-11-01T00:00:00"/>
    <n v="540"/>
    <s v="January"/>
  </r>
  <r>
    <d v="2025-09-01T00:00:00"/>
    <s v="OTC"/>
    <s v="Randhir Fageria"/>
    <n v="4"/>
    <x v="14"/>
    <s v="Pfizer India"/>
    <s v="OXY0125X"/>
    <d v="2026-12-01T00:00:00"/>
    <n v="120"/>
    <s v="January"/>
  </r>
  <r>
    <d v="2025-09-01T00:00:00"/>
    <s v="Dr. Vinay Singla"/>
    <s v="Sumit Kumar"/>
    <n v="27"/>
    <x v="15"/>
    <s v="Abbott India"/>
    <s v="ENR0425C"/>
    <d v="2027-05-01T00:00:00"/>
    <n v="1080"/>
    <s v="January"/>
  </r>
  <r>
    <d v="2025-09-01T00:00:00"/>
    <s v="OTC"/>
    <s v="Randhir Fageria"/>
    <n v="5"/>
    <x v="16"/>
    <s v="Sun Pharma"/>
    <s v="IVE0425B"/>
    <d v="2027-08-01T00:00:00"/>
    <n v="250"/>
    <s v="January"/>
  </r>
  <r>
    <d v="2025-09-01T00:00:00"/>
    <s v="Dr. Satbir Khumber"/>
    <s v="Brijlalal Dhaka"/>
    <n v="28"/>
    <x v="0"/>
    <s v="Cipla"/>
    <s v="PAR0425B"/>
    <d v="2026-08-01T00:00:00"/>
    <n v="56"/>
    <s v="January"/>
  </r>
  <r>
    <d v="2025-09-01T00:00:00"/>
    <s v="Dr. Vinay Singla"/>
    <s v="Amit Dhaka"/>
    <n v="25"/>
    <x v="1"/>
    <s v="Sun Pharma"/>
    <s v="IBU0425/25"/>
    <d v="2027-12-01T00:00:00"/>
    <n v="75"/>
    <s v="January"/>
  </r>
  <r>
    <d v="2025-09-01T00:00:00"/>
    <s v="Dr. Amit Narang"/>
    <s v="Balbir Fageria"/>
    <n v="2"/>
    <x v="2"/>
    <s v="Dr. Reddyâ€™s"/>
    <s v="AMO0225A"/>
    <d v="2026-09-01T00:00:00"/>
    <n v="16"/>
    <s v="January"/>
  </r>
  <r>
    <d v="2025-09-01T00:00:00"/>
    <s v="OTC"/>
    <s v="Naseeb Khakhal"/>
    <n v="23"/>
    <x v="3"/>
    <s v="Zydus Cadila"/>
    <s v="CET0125C"/>
    <d v="2027-12-01T00:00:00"/>
    <n v="69"/>
    <s v="January"/>
  </r>
  <r>
    <d v="2025-10-01T00:00:00"/>
    <s v="Dr. Geeta Choudhary"/>
    <s v="Raman Dhaka"/>
    <n v="25"/>
    <x v="4"/>
    <s v="Lupin"/>
    <s v="MET0225C"/>
    <d v="2026-09-01T00:00:00"/>
    <n v="100"/>
    <s v="January"/>
  </r>
  <r>
    <d v="2025-10-01T00:00:00"/>
    <s v="Dr. Geeta Choudhary"/>
    <s v="Chander Bhan"/>
    <n v="20"/>
    <x v="5"/>
    <s v="Torrent Pharma"/>
    <s v="AML0125X"/>
    <d v="2026-07-01T00:00:00"/>
    <n v="100"/>
    <s v="January"/>
  </r>
  <r>
    <d v="2025-10-01T00:00:00"/>
    <s v="Dr. Geeta Choudhary"/>
    <s v="Ramkla Devi"/>
    <n v="8"/>
    <x v="6"/>
    <s v="Alkem Laboratories"/>
    <s v="ATE0125/25"/>
    <d v="2026-06-01T00:00:00"/>
    <n v="48"/>
    <s v="January"/>
  </r>
  <r>
    <d v="2025-10-01T00:00:00"/>
    <s v="OTC"/>
    <s v="Amit Dhaka"/>
    <n v="12"/>
    <x v="7"/>
    <s v="Cipla"/>
    <s v="SAL0125X"/>
    <d v="2026-06-01T00:00:00"/>
    <n v="48"/>
    <s v="January"/>
  </r>
  <r>
    <d v="2025-10-01T00:00:00"/>
    <s v="Dr. Amit Narang"/>
    <s v="Amit Dhaka"/>
    <n v="14"/>
    <x v="8"/>
    <s v="Sun Pharma"/>
    <s v="DOX0125A"/>
    <d v="2027-09-01T00:00:00"/>
    <n v="140"/>
    <s v="January"/>
  </r>
  <r>
    <d v="2025-10-01T00:00:00"/>
    <s v="OTC"/>
    <s v="Sanjay Riwar"/>
    <n v="17"/>
    <x v="9"/>
    <s v="Mankind Pharma"/>
    <s v="PAN1224A"/>
    <d v="2027-06-01T00:00:00"/>
    <n v="85"/>
    <s v="January"/>
  </r>
  <r>
    <d v="2025-10-01T00:00:00"/>
    <s v="Dr. Rajesh Batra"/>
    <s v="Ram Kumar"/>
    <n v="16"/>
    <x v="10"/>
    <s v="GSK India"/>
    <s v="CRO1224A"/>
    <d v="2026-11-01T00:00:00"/>
    <n v="32"/>
    <s v="January"/>
  </r>
  <r>
    <d v="2025-10-01T00:00:00"/>
    <s v="Dr. Rajesh Batra"/>
    <s v="Naresh Didharia"/>
    <n v="15"/>
    <x v="11"/>
    <s v="GSK India"/>
    <s v="ENO0325B"/>
    <d v="2026-04-01T00:00:00"/>
    <n v="150"/>
    <s v="January"/>
  </r>
  <r>
    <d v="2025-11-01T00:00:00"/>
    <s v="Dr. Geeta Choudhary"/>
    <s v="Mandeep Kumar"/>
    <n v="29"/>
    <x v="12"/>
    <s v="Sanofi India"/>
    <s v="BET0325C"/>
    <d v="2026-11-01T00:00:00"/>
    <n v="3480"/>
    <s v="January"/>
  </r>
  <r>
    <d v="2025-11-01T00:00:00"/>
    <s v="Dr. Anshul Sehgal"/>
    <s v="Sube Ram"/>
    <n v="14"/>
    <x v="13"/>
    <s v="Mankind Pharma"/>
    <s v="ALB0325X"/>
    <d v="2027-03-01T00:00:00"/>
    <n v="280"/>
    <s v="January"/>
  </r>
  <r>
    <d v="2025-11-01T00:00:00"/>
    <s v="OTC"/>
    <s v="Naseeb Khakhal"/>
    <n v="20"/>
    <x v="14"/>
    <s v="Pfizer India"/>
    <s v="OXY0325/25"/>
    <d v="2027-11-01T00:00:00"/>
    <n v="600"/>
    <s v="January"/>
  </r>
  <r>
    <d v="2025-11-01T00:00:00"/>
    <s v="Dr. Rajesh Batra"/>
    <s v="Shishpal Sharma"/>
    <n v="4"/>
    <x v="15"/>
    <s v="Abbott India"/>
    <s v="ENR0325X"/>
    <d v="2027-05-01T00:00:00"/>
    <n v="160"/>
    <s v="January"/>
  </r>
  <r>
    <d v="2025-11-01T00:00:00"/>
    <s v="OTC"/>
    <s v="Mohit Chaberwal"/>
    <n v="4"/>
    <x v="16"/>
    <s v="Sun Pharma"/>
    <s v="IVE0125A"/>
    <d v="2027-02-01T00:00:00"/>
    <n v="200"/>
    <s v="January"/>
  </r>
  <r>
    <d v="2025-11-01T00:00:00"/>
    <s v="OTC"/>
    <s v="Sanjay Riwar"/>
    <n v="10"/>
    <x v="0"/>
    <s v="Cipla"/>
    <s v="PAR0425C"/>
    <d v="2027-12-01T00:00:00"/>
    <n v="20"/>
    <s v="January"/>
  </r>
  <r>
    <d v="2025-11-01T00:00:00"/>
    <s v="Dr. Satbir Khumber"/>
    <s v="Baljinder Singh"/>
    <n v="16"/>
    <x v="1"/>
    <s v="Sun Pharma"/>
    <s v="IBU0325B"/>
    <d v="2026-12-01T00:00:00"/>
    <n v="48"/>
    <s v="January"/>
  </r>
  <r>
    <d v="2025-11-01T00:00:00"/>
    <s v="OTC"/>
    <s v="Baljinder Singh"/>
    <n v="16"/>
    <x v="2"/>
    <s v="Dr. Reddyâ€™s"/>
    <s v="AMO0225C"/>
    <d v="2027-03-01T00:00:00"/>
    <n v="128"/>
    <s v="January"/>
  </r>
  <r>
    <d v="2025-12-01T00:00:00"/>
    <s v="Dr. HC Dahiya"/>
    <s v="Ankit Bhadu"/>
    <n v="4"/>
    <x v="3"/>
    <s v="Zydus Cadila"/>
    <s v="CET0325B"/>
    <d v="2026-07-01T00:00:00"/>
    <n v="12"/>
    <s v="January"/>
  </r>
  <r>
    <d v="2025-12-01T00:00:00"/>
    <s v="Dr. Sameer Tuteja"/>
    <s v="Balbir Fageria"/>
    <n v="9"/>
    <x v="4"/>
    <s v="Lupin"/>
    <s v="MET0325A"/>
    <d v="2028-01-01T00:00:00"/>
    <n v="36"/>
    <s v="January"/>
  </r>
  <r>
    <d v="2025-12-01T00:00:00"/>
    <s v="OTC"/>
    <s v="Randhir Fageria"/>
    <n v="12"/>
    <x v="5"/>
    <s v="Torrent Pharma"/>
    <s v="AML0125A"/>
    <d v="2027-01-01T00:00:00"/>
    <n v="60"/>
    <s v="January"/>
  </r>
  <r>
    <d v="2025-12-01T00:00:00"/>
    <s v="Dr. Geeta Choudhary"/>
    <s v="Radhe Shaym"/>
    <n v="9"/>
    <x v="6"/>
    <s v="Alkem Laboratories"/>
    <s v="ATE0125B"/>
    <d v="2026-10-01T00:00:00"/>
    <n v="54"/>
    <s v="January"/>
  </r>
  <r>
    <d v="2025-12-01T00:00:00"/>
    <s v="Dr. Anshul Sehgal"/>
    <s v="Ram Kumar"/>
    <n v="20"/>
    <x v="7"/>
    <s v="Cipla"/>
    <s v="SAL0225X"/>
    <d v="2026-10-01T00:00:00"/>
    <n v="80"/>
    <s v="January"/>
  </r>
  <r>
    <d v="2025-12-01T00:00:00"/>
    <s v="Dr. Kamaljeet Sambhyl"/>
    <s v="Raman Dhaka"/>
    <n v="29"/>
    <x v="8"/>
    <s v="Sun Pharma"/>
    <s v="DOX1224C"/>
    <d v="2027-08-01T00:00:00"/>
    <n v="290"/>
    <s v="January"/>
  </r>
  <r>
    <d v="2025-12-01T00:00:00"/>
    <s v="Dr. Kamaljeet Sambhyl"/>
    <s v="Umesh Kumar"/>
    <n v="20"/>
    <x v="9"/>
    <s v="Mankind Pharma"/>
    <s v="PAN0125C"/>
    <d v="2027-09-01T00:00:00"/>
    <n v="100"/>
    <s v="January"/>
  </r>
  <r>
    <d v="2025-12-01T00:00:00"/>
    <s v="Dr. Satbir Khumber"/>
    <s v="Tamanna Dhaka"/>
    <n v="23"/>
    <x v="10"/>
    <s v="GSK India"/>
    <s v="CRO0125/25"/>
    <d v="2027-04-01T00:00:00"/>
    <n v="46"/>
    <s v="January"/>
  </r>
  <r>
    <s v="01-13-2025"/>
    <s v="OTC"/>
    <s v="Kuldeep Singh"/>
    <n v="11"/>
    <x v="11"/>
    <s v="GSK India"/>
    <s v="ENO0225A"/>
    <d v="2026-12-01T00:00:00"/>
    <n v="110"/>
    <s v="January"/>
  </r>
  <r>
    <s v="01-13-2025"/>
    <s v="Dr. Renu Bansal"/>
    <s v="Yogesh Khicher"/>
    <n v="25"/>
    <x v="12"/>
    <s v="Sanofi India"/>
    <s v="BET0125C"/>
    <d v="2027-01-01T00:00:00"/>
    <n v="3000"/>
    <s v="January"/>
  </r>
  <r>
    <s v="01-13-2025"/>
    <s v="Dr. Sameer Tuteja"/>
    <s v="Chander Bhan"/>
    <n v="29"/>
    <x v="13"/>
    <s v="Mankind Pharma"/>
    <s v="ALB0425C"/>
    <d v="2028-01-01T00:00:00"/>
    <n v="580"/>
    <s v="January"/>
  </r>
  <r>
    <s v="01-13-2025"/>
    <s v="Dr. Vinay Singla"/>
    <s v="Yogesh Khicher"/>
    <n v="27"/>
    <x v="14"/>
    <s v="Pfizer India"/>
    <s v="OXY1224A"/>
    <d v="2025-12-01T00:00:00"/>
    <n v="810"/>
    <s v="January"/>
  </r>
  <r>
    <s v="01-13-2025"/>
    <s v="OTC"/>
    <s v="Naseeb Khakhal"/>
    <n v="9"/>
    <x v="15"/>
    <s v="Abbott India"/>
    <s v="ENR1224A"/>
    <d v="2026-08-01T00:00:00"/>
    <n v="360"/>
    <s v="January"/>
  </r>
  <r>
    <s v="01-13-2025"/>
    <s v="Dr. Satbir Khumber"/>
    <s v="Ankit Bhadu"/>
    <n v="12"/>
    <x v="16"/>
    <s v="Sun Pharma"/>
    <s v="IVE1224C"/>
    <d v="2026-02-01T00:00:00"/>
    <n v="600"/>
    <s v="January"/>
  </r>
  <r>
    <s v="01-13-2025"/>
    <s v="Dr. Satbir Khumber"/>
    <s v="Sanjay Riwar"/>
    <n v="15"/>
    <x v="0"/>
    <s v="Cipla"/>
    <s v="PAR0225A"/>
    <d v="2026-10-01T00:00:00"/>
    <n v="30"/>
    <s v="January"/>
  </r>
  <r>
    <s v="01-13-2025"/>
    <s v="Dr. HC Dahiya"/>
    <s v="Ramkla Devi"/>
    <n v="21"/>
    <x v="1"/>
    <s v="Sun Pharma"/>
    <s v="IBU0125B"/>
    <d v="2027-07-01T00:00:00"/>
    <n v="63"/>
    <s v="January"/>
  </r>
  <r>
    <s v="01-14-2025"/>
    <s v="OTC"/>
    <s v="Mandeep Kumar"/>
    <n v="15"/>
    <x v="2"/>
    <s v="Dr. Reddyâ€™s"/>
    <s v="AMO0325/25"/>
    <d v="2026-11-01T00:00:00"/>
    <n v="120"/>
    <s v="January"/>
  </r>
  <r>
    <s v="01-14-2025"/>
    <s v="Dr. Anshul Sehgal"/>
    <s v="Ankit Bhadu"/>
    <n v="2"/>
    <x v="3"/>
    <s v="Zydus Cadila"/>
    <s v="CET0425/25"/>
    <d v="2027-06-01T00:00:00"/>
    <n v="6"/>
    <s v="January"/>
  </r>
  <r>
    <s v="01-14-2025"/>
    <s v="Dr. Ramphal Dhaka"/>
    <s v="Pawan Khakhal"/>
    <n v="29"/>
    <x v="4"/>
    <s v="Lupin"/>
    <s v="MET0125X"/>
    <d v="2026-06-01T00:00:00"/>
    <n v="116"/>
    <s v="January"/>
  </r>
  <r>
    <s v="01-14-2025"/>
    <s v="Dr. Manohar Pahuja"/>
    <s v="Sanjay Riwar"/>
    <n v="25"/>
    <x v="5"/>
    <s v="Torrent Pharma"/>
    <s v="AML1224C"/>
    <d v="2026-10-01T00:00:00"/>
    <n v="125"/>
    <s v="January"/>
  </r>
  <r>
    <s v="01-14-2025"/>
    <s v="Dr. Sameer Tuteja"/>
    <s v="Hari Singh"/>
    <n v="30"/>
    <x v="6"/>
    <s v="Alkem Laboratories"/>
    <s v="ATE0225X"/>
    <d v="2026-06-01T00:00:00"/>
    <n v="180"/>
    <s v="January"/>
  </r>
  <r>
    <s v="01-14-2025"/>
    <s v="Dr. Satbir Khumber"/>
    <s v="Baljinder Singh"/>
    <n v="7"/>
    <x v="7"/>
    <s v="Cipla"/>
    <s v="SAL0225C"/>
    <d v="2027-07-01T00:00:00"/>
    <n v="28"/>
    <s v="January"/>
  </r>
  <r>
    <s v="01-14-2025"/>
    <s v="OTC"/>
    <s v="Ravi Dhaka"/>
    <n v="19"/>
    <x v="8"/>
    <s v="Sun Pharma"/>
    <s v="DOX0425/25"/>
    <d v="2027-10-01T00:00:00"/>
    <n v="190"/>
    <s v="January"/>
  </r>
  <r>
    <s v="01-14-2025"/>
    <s v="Dr. Manohar Pahuja"/>
    <s v="Santosh Rani"/>
    <n v="1"/>
    <x v="9"/>
    <s v="Mankind Pharma"/>
    <s v="PAN0425/25"/>
    <d v="2027-09-01T00:00:00"/>
    <n v="5"/>
    <s v="January"/>
  </r>
  <r>
    <s v="01-15-2025"/>
    <s v="Dr. Renu Bansal"/>
    <s v="Naresh Didharia"/>
    <n v="3"/>
    <x v="10"/>
    <s v="GSK India"/>
    <s v="CRO0225A"/>
    <d v="2026-11-01T00:00:00"/>
    <n v="6"/>
    <s v="January"/>
  </r>
  <r>
    <s v="01-15-2025"/>
    <s v="Dr. Manohar Pahuja"/>
    <s v="Santosh Rani"/>
    <n v="17"/>
    <x v="11"/>
    <s v="GSK India"/>
    <s v="ENO1224B"/>
    <d v="2026-08-01T00:00:00"/>
    <n v="170"/>
    <s v="January"/>
  </r>
  <r>
    <s v="01-15-2025"/>
    <s v="Dr. Geeta Choudhary"/>
    <s v="Amar Burdak"/>
    <n v="11"/>
    <x v="12"/>
    <s v="Sanofi India"/>
    <s v="BET0125X"/>
    <d v="2027-02-01T00:00:00"/>
    <n v="1320"/>
    <s v="January"/>
  </r>
  <r>
    <s v="01-15-2025"/>
    <s v="Dr. Satbir Khumber"/>
    <s v="Mandeep Kumar"/>
    <n v="24"/>
    <x v="13"/>
    <s v="Mankind Pharma"/>
    <s v="ALB1224/25"/>
    <d v="2027-09-01T00:00:00"/>
    <n v="480"/>
    <s v="January"/>
  </r>
  <r>
    <s v="01-15-2025"/>
    <s v="Dr. Manohar Pahuja"/>
    <s v="Tamanna Dhaka"/>
    <n v="4"/>
    <x v="14"/>
    <s v="Pfizer India"/>
    <s v="OXY0325X"/>
    <d v="2027-09-01T00:00:00"/>
    <n v="120"/>
    <s v="January"/>
  </r>
  <r>
    <s v="01-15-2025"/>
    <s v="Dr. Rajesh Batra"/>
    <s v="Dinesh Sharma"/>
    <n v="20"/>
    <x v="15"/>
    <s v="Abbott India"/>
    <s v="ENR0325X"/>
    <d v="2026-06-01T00:00:00"/>
    <n v="800"/>
    <s v="January"/>
  </r>
  <r>
    <s v="01-15-2025"/>
    <s v="Dr. Kamaljeet Sambhyl"/>
    <s v="Sube Ram"/>
    <n v="16"/>
    <x v="16"/>
    <s v="Sun Pharma"/>
    <s v="IVE0125C"/>
    <d v="2027-10-01T00:00:00"/>
    <n v="800"/>
    <s v="January"/>
  </r>
  <r>
    <s v="01-15-2025"/>
    <s v="OTC"/>
    <s v="Chander Bhan"/>
    <n v="3"/>
    <x v="0"/>
    <s v="Cipla"/>
    <s v="PAR1224A"/>
    <d v="2027-03-01T00:00:00"/>
    <n v="6"/>
    <s v="January"/>
  </r>
  <r>
    <s v="01-16-2025"/>
    <s v="Dr. Amit Narang"/>
    <s v="Mandeep Kumar"/>
    <n v="29"/>
    <x v="1"/>
    <s v="Sun Pharma"/>
    <s v="IBU1224B"/>
    <d v="2026-09-01T00:00:00"/>
    <n v="87"/>
    <s v="January"/>
  </r>
  <r>
    <s v="01-16-2025"/>
    <s v="Dr. Ramphal Dhaka"/>
    <s v="Brijlalal Dhaka"/>
    <n v="19"/>
    <x v="2"/>
    <s v="Dr. Reddyâ€™s"/>
    <s v="AMO0325C"/>
    <d v="2027-02-01T00:00:00"/>
    <n v="152"/>
    <s v="January"/>
  </r>
  <r>
    <s v="01-16-2025"/>
    <s v="Dr. Virender Siwach"/>
    <s v="Manisha Rani"/>
    <n v="17"/>
    <x v="3"/>
    <s v="Zydus Cadila"/>
    <s v="CET0125B"/>
    <d v="2027-04-01T00:00:00"/>
    <n v="51"/>
    <s v="January"/>
  </r>
  <r>
    <s v="01-16-2025"/>
    <s v="Dr. Virender Siwach"/>
    <s v="Radhe Shaym"/>
    <n v="7"/>
    <x v="4"/>
    <s v="Lupin"/>
    <s v="MET0225/25"/>
    <d v="2026-05-01T00:00:00"/>
    <n v="28"/>
    <s v="January"/>
  </r>
  <r>
    <s v="01-16-2025"/>
    <s v="Dr. Ramphal Dhaka"/>
    <s v="Mandeep Kumar"/>
    <n v="28"/>
    <x v="5"/>
    <s v="Torrent Pharma"/>
    <s v="AML0125X"/>
    <d v="2026-09-01T00:00:00"/>
    <n v="140"/>
    <s v="January"/>
  </r>
  <r>
    <s v="01-16-2025"/>
    <s v="Dr. Renu Bansal"/>
    <s v="Amar Burdak"/>
    <n v="17"/>
    <x v="6"/>
    <s v="Alkem Laboratories"/>
    <s v="ATE0325/25"/>
    <d v="2028-01-01T00:00:00"/>
    <n v="102"/>
    <s v="January"/>
  </r>
  <r>
    <s v="01-16-2025"/>
    <s v="Dr. Satbir Khumber"/>
    <s v="Naseeb Khakhal"/>
    <n v="2"/>
    <x v="7"/>
    <s v="Cipla"/>
    <s v="SAL0125/25"/>
    <d v="2026-04-01T00:00:00"/>
    <n v="8"/>
    <s v="January"/>
  </r>
  <r>
    <s v="01-16-2025"/>
    <s v="Dr. Renu Bansal"/>
    <s v="Umesh Kumar"/>
    <n v="18"/>
    <x v="8"/>
    <s v="Sun Pharma"/>
    <s v="DOX0325C"/>
    <d v="2027-01-01T00:00:00"/>
    <n v="180"/>
    <s v="January"/>
  </r>
  <r>
    <s v="01-17-2025"/>
    <s v="Dr. Ramphal Dhaka"/>
    <s v="Ramkla Devi"/>
    <n v="11"/>
    <x v="9"/>
    <s v="Mankind Pharma"/>
    <s v="PAN1224A"/>
    <d v="2026-06-01T00:00:00"/>
    <n v="55"/>
    <s v="January"/>
  </r>
  <r>
    <s v="01-17-2025"/>
    <s v="Dr. Renu Bansal"/>
    <s v="Shyam Sunder"/>
    <n v="25"/>
    <x v="10"/>
    <s v="GSK India"/>
    <s v="CRO0325A"/>
    <d v="2027-08-01T00:00:00"/>
    <n v="50"/>
    <s v="January"/>
  </r>
  <r>
    <s v="01-17-2025"/>
    <s v="Dr. Vinay Singla"/>
    <s v="Ram Kumar"/>
    <n v="18"/>
    <x v="11"/>
    <s v="GSK India"/>
    <s v="ENO0225/25"/>
    <d v="2026-12-01T00:00:00"/>
    <n v="180"/>
    <s v="January"/>
  </r>
  <r>
    <s v="01-17-2025"/>
    <s v="Dr. Kamaljeet Sambhyl"/>
    <s v="Sube Ram"/>
    <n v="26"/>
    <x v="12"/>
    <s v="Sanofi India"/>
    <s v="BET0325A"/>
    <d v="2026-11-01T00:00:00"/>
    <n v="3120"/>
    <s v="January"/>
  </r>
  <r>
    <s v="01-17-2025"/>
    <s v="Dr. HC Dahiya"/>
    <s v="Dinesh Sharma"/>
    <n v="23"/>
    <x v="13"/>
    <s v="Mankind Pharma"/>
    <s v="ALB0425B"/>
    <d v="2027-02-01T00:00:00"/>
    <n v="460"/>
    <s v="January"/>
  </r>
  <r>
    <s v="01-17-2025"/>
    <s v="Dr. Rajesh Batra"/>
    <s v="Naseeb Khakhal"/>
    <n v="23"/>
    <x v="14"/>
    <s v="Pfizer India"/>
    <s v="OXY0225X"/>
    <d v="2026-10-01T00:00:00"/>
    <n v="690"/>
    <s v="January"/>
  </r>
  <r>
    <s v="01-17-2025"/>
    <s v="OTC"/>
    <s v="Sita Ram"/>
    <n v="20"/>
    <x v="15"/>
    <s v="Abbott India"/>
    <s v="ENR0125/25"/>
    <d v="2027-07-01T00:00:00"/>
    <n v="800"/>
    <s v="January"/>
  </r>
  <r>
    <s v="01-17-2025"/>
    <s v="Dr. Sameer Tuteja"/>
    <s v="Amar Burdak"/>
    <n v="21"/>
    <x v="16"/>
    <s v="Sun Pharma"/>
    <s v="IVE0325/25"/>
    <d v="2026-05-01T00:00:00"/>
    <n v="1050"/>
    <s v="January"/>
  </r>
  <r>
    <s v="01-18-2025"/>
    <s v="Dr. Rajesh Batra"/>
    <s v="Mohit Chaberwal"/>
    <n v="16"/>
    <x v="0"/>
    <s v="Cipla"/>
    <s v="PAR0225C"/>
    <d v="2026-05-01T00:00:00"/>
    <n v="32"/>
    <s v="January"/>
  </r>
  <r>
    <s v="01-18-2025"/>
    <s v="OTC"/>
    <s v="Santosh Rani"/>
    <n v="19"/>
    <x v="1"/>
    <s v="Sun Pharma"/>
    <s v="IBU0125C"/>
    <d v="2026-01-01T00:00:00"/>
    <n v="57"/>
    <s v="January"/>
  </r>
  <r>
    <s v="01-18-2025"/>
    <s v="Dr. Virender Siwach"/>
    <s v="Ram Kumar"/>
    <n v="23"/>
    <x v="2"/>
    <s v="Dr. Reddyâ€™s"/>
    <s v="AMO1224X"/>
    <d v="2027-01-01T00:00:00"/>
    <n v="184"/>
    <s v="January"/>
  </r>
  <r>
    <s v="01-18-2025"/>
    <s v="OTC"/>
    <s v="Ramkla Devi"/>
    <n v="2"/>
    <x v="3"/>
    <s v="Zydus Cadila"/>
    <s v="CET1224C"/>
    <d v="2026-09-01T00:00:00"/>
    <n v="6"/>
    <s v="January"/>
  </r>
  <r>
    <s v="01-18-2025"/>
    <s v="OTC"/>
    <s v="Sahil Chundwal"/>
    <n v="4"/>
    <x v="4"/>
    <s v="Lupin"/>
    <s v="MET0125B"/>
    <d v="2027-02-01T00:00:00"/>
    <n v="16"/>
    <s v="January"/>
  </r>
  <r>
    <s v="01-18-2025"/>
    <s v="Dr. Virender Siwach"/>
    <s v="Ramkla Devi"/>
    <n v="9"/>
    <x v="5"/>
    <s v="Torrent Pharma"/>
    <s v="AML0325C"/>
    <d v="2027-10-01T00:00:00"/>
    <n v="45"/>
    <s v="January"/>
  </r>
  <r>
    <s v="01-18-2025"/>
    <s v="Dr. HC Dahiya"/>
    <s v="Kuldeep Singh"/>
    <n v="2"/>
    <x v="6"/>
    <s v="Alkem Laboratories"/>
    <s v="ATE1224/25"/>
    <d v="2026-08-01T00:00:00"/>
    <n v="12"/>
    <s v="January"/>
  </r>
  <r>
    <s v="01-18-2025"/>
    <s v="Dr. Geeta Choudhary"/>
    <s v="Manisha Rani"/>
    <n v="5"/>
    <x v="7"/>
    <s v="Cipla"/>
    <s v="SAL0125/25"/>
    <d v="2027-11-01T00:00:00"/>
    <n v="20"/>
    <s v="January"/>
  </r>
  <r>
    <s v="01-19-2025"/>
    <s v="Dr. Renu Bansal"/>
    <s v="Sumitra Devi"/>
    <n v="17"/>
    <x v="8"/>
    <s v="Sun Pharma"/>
    <s v="DOX0125C"/>
    <d v="2026-12-01T00:00:00"/>
    <n v="170"/>
    <s v="January"/>
  </r>
  <r>
    <s v="01-19-2025"/>
    <s v="Dr. Satbir Khumber"/>
    <s v="Sumit Kumar"/>
    <n v="12"/>
    <x v="9"/>
    <s v="Mankind Pharma"/>
    <s v="PAN0325/25"/>
    <d v="2027-01-01T00:00:00"/>
    <n v="60"/>
    <s v="January"/>
  </r>
  <r>
    <s v="01-19-2025"/>
    <s v="Dr. Virender Siwach"/>
    <s v="Baljinder Singh"/>
    <n v="17"/>
    <x v="10"/>
    <s v="GSK India"/>
    <s v="CRO1224A"/>
    <d v="2026-12-01T00:00:00"/>
    <n v="34"/>
    <s v="January"/>
  </r>
  <r>
    <s v="01-19-2025"/>
    <s v="Dr. Kamaljeet Sambhyl"/>
    <s v="Amar Burdak"/>
    <n v="16"/>
    <x v="11"/>
    <s v="GSK India"/>
    <s v="ENO0425A"/>
    <d v="2026-07-01T00:00:00"/>
    <n v="160"/>
    <s v="January"/>
  </r>
  <r>
    <s v="01-19-2025"/>
    <s v="OTC"/>
    <s v="Ankit Bhadu"/>
    <n v="22"/>
    <x v="12"/>
    <s v="Sanofi India"/>
    <s v="BET1224C"/>
    <d v="2025-12-01T00:00:00"/>
    <n v="2640"/>
    <s v="January"/>
  </r>
  <r>
    <s v="01-19-2025"/>
    <s v="Dr. HC Dahiya"/>
    <s v="Naresh Didharia"/>
    <n v="29"/>
    <x v="13"/>
    <s v="Mankind Pharma"/>
    <s v="ALB0325X"/>
    <d v="2026-10-01T00:00:00"/>
    <n v="580"/>
    <s v="January"/>
  </r>
  <r>
    <s v="01-19-2025"/>
    <s v="OTC"/>
    <s v="Yogesh Khicher"/>
    <n v="3"/>
    <x v="14"/>
    <s v="Pfizer India"/>
    <s v="OXY0425B"/>
    <d v="2026-05-01T00:00:00"/>
    <n v="90"/>
    <s v="January"/>
  </r>
  <r>
    <s v="01-19-2025"/>
    <s v="OTC"/>
    <s v="Umesh Kumar"/>
    <n v="20"/>
    <x v="15"/>
    <s v="Abbott India"/>
    <s v="ENR0425/25"/>
    <d v="2027-05-01T00:00:00"/>
    <n v="800"/>
    <s v="January"/>
  </r>
  <r>
    <s v="01-20-2025"/>
    <s v="Dr. Virender Siwach"/>
    <s v="Sahil Chundwal"/>
    <n v="14"/>
    <x v="16"/>
    <s v="Sun Pharma"/>
    <s v="IVE0225/25"/>
    <d v="2026-10-01T00:00:00"/>
    <n v="700"/>
    <s v="January"/>
  </r>
  <r>
    <s v="01-20-2025"/>
    <s v="Dr. Satbir Khumber"/>
    <s v="Amar Burdak"/>
    <n v="29"/>
    <x v="0"/>
    <s v="Cipla"/>
    <s v="PAR0325C"/>
    <d v="2027-10-01T00:00:00"/>
    <n v="58"/>
    <s v="January"/>
  </r>
  <r>
    <s v="01-20-2025"/>
    <s v="Dr. Sameer Tuteja"/>
    <s v="Sita Ram"/>
    <n v="11"/>
    <x v="1"/>
    <s v="Sun Pharma"/>
    <s v="IBU0225A"/>
    <d v="2026-07-01T00:00:00"/>
    <n v="33"/>
    <s v="January"/>
  </r>
  <r>
    <s v="01-20-2025"/>
    <s v="Dr. Anshul Sehgal"/>
    <s v="Naresh Didharia"/>
    <n v="30"/>
    <x v="2"/>
    <s v="Dr. Reddyâ€™s"/>
    <s v="AMO0225B"/>
    <d v="2027-10-01T00:00:00"/>
    <n v="240"/>
    <s v="January"/>
  </r>
  <r>
    <s v="01-20-2025"/>
    <s v="Dr. Virender Siwach"/>
    <s v="Amit Dhaka"/>
    <n v="12"/>
    <x v="3"/>
    <s v="Zydus Cadila"/>
    <s v="CET0225A"/>
    <d v="2027-04-01T00:00:00"/>
    <n v="36"/>
    <s v="January"/>
  </r>
  <r>
    <s v="01-20-2025"/>
    <s v="OTC"/>
    <s v="Brijlalal Dhaka"/>
    <n v="13"/>
    <x v="4"/>
    <s v="Lupin"/>
    <s v="MET0125X"/>
    <d v="2026-01-01T00:00:00"/>
    <n v="52"/>
    <s v="January"/>
  </r>
  <r>
    <s v="01-20-2025"/>
    <s v="Dr. Virender Siwach"/>
    <s v="Umesh Kumar"/>
    <n v="26"/>
    <x v="5"/>
    <s v="Torrent Pharma"/>
    <s v="AML0325A"/>
    <d v="2027-07-01T00:00:00"/>
    <n v="130"/>
    <s v="January"/>
  </r>
  <r>
    <s v="01-20-2025"/>
    <s v="Dr. Manohar Pahuja"/>
    <s v="Mandeep Kumar"/>
    <n v="6"/>
    <x v="6"/>
    <s v="Alkem Laboratories"/>
    <s v="ATE0425C"/>
    <d v="2026-06-01T00:00:00"/>
    <n v="36"/>
    <s v="January"/>
  </r>
  <r>
    <s v="01-21-2025"/>
    <s v="Dr. Geeta Choudhary"/>
    <s v="Hari Singh"/>
    <n v="6"/>
    <x v="7"/>
    <s v="Cipla"/>
    <s v="SAL0125X"/>
    <d v="2026-04-01T00:00:00"/>
    <n v="24"/>
    <s v="January"/>
  </r>
  <r>
    <s v="01-21-2025"/>
    <s v="OTC"/>
    <s v="Ankit Bhadu"/>
    <n v="15"/>
    <x v="8"/>
    <s v="Sun Pharma"/>
    <s v="DOX0325X"/>
    <d v="2027-10-01T00:00:00"/>
    <n v="150"/>
    <s v="January"/>
  </r>
  <r>
    <s v="01-21-2025"/>
    <s v="Dr. HC Dahiya"/>
    <s v="Ankit Bhadu"/>
    <n v="30"/>
    <x v="9"/>
    <s v="Mankind Pharma"/>
    <s v="PAN0125/25"/>
    <d v="2027-08-01T00:00:00"/>
    <n v="150"/>
    <s v="January"/>
  </r>
  <r>
    <s v="01-21-2025"/>
    <s v="Dr. Renu Bansal"/>
    <s v="Santosh Rani"/>
    <n v="30"/>
    <x v="10"/>
    <s v="GSK India"/>
    <s v="CRO0125/25"/>
    <d v="2026-07-01T00:00:00"/>
    <n v="60"/>
    <s v="January"/>
  </r>
  <r>
    <s v="01-21-2025"/>
    <s v="Dr. HC Dahiya"/>
    <s v="Sumitra Devi"/>
    <n v="5"/>
    <x v="11"/>
    <s v="GSK India"/>
    <s v="ENO0125A"/>
    <d v="2026-12-01T00:00:00"/>
    <n v="50"/>
    <s v="January"/>
  </r>
  <r>
    <s v="01-21-2025"/>
    <s v="OTC"/>
    <s v="Dinesh Sharma"/>
    <n v="20"/>
    <x v="12"/>
    <s v="Sanofi India"/>
    <s v="BET0425/25"/>
    <d v="2027-03-01T00:00:00"/>
    <n v="2400"/>
    <s v="January"/>
  </r>
  <r>
    <s v="01-21-2025"/>
    <s v="Dr. Virender Siwach"/>
    <s v="Mandeep Kumar"/>
    <n v="29"/>
    <x v="13"/>
    <s v="Mankind Pharma"/>
    <s v="ALB0125B"/>
    <d v="2026-01-01T00:00:00"/>
    <n v="580"/>
    <s v="January"/>
  </r>
  <r>
    <s v="01-21-2025"/>
    <s v="Dr. Anshul Sehgal"/>
    <s v="Mandeep Kumar"/>
    <n v="2"/>
    <x v="14"/>
    <s v="Pfizer India"/>
    <s v="OXY1224B"/>
    <d v="2027-02-01T00:00:00"/>
    <n v="60"/>
    <s v="January"/>
  </r>
  <r>
    <s v="01-22-2025"/>
    <s v="OTC"/>
    <s v="Umesh Kumar"/>
    <n v="14"/>
    <x v="15"/>
    <s v="Abbott India"/>
    <s v="ENR0225A"/>
    <d v="2026-12-01T00:00:00"/>
    <n v="560"/>
    <s v="January"/>
  </r>
  <r>
    <s v="01-22-2025"/>
    <s v="Dr. Renu Bansal"/>
    <s v="Radhe Shaym"/>
    <n v="10"/>
    <x v="16"/>
    <s v="Sun Pharma"/>
    <s v="IVE0325/25"/>
    <d v="2027-06-01T00:00:00"/>
    <n v="500"/>
    <s v="January"/>
  </r>
  <r>
    <s v="01-22-2025"/>
    <s v="Dr. Rajesh Batra"/>
    <s v="Mandeep Kumar"/>
    <n v="20"/>
    <x v="0"/>
    <s v="Cipla"/>
    <s v="PAR0125A"/>
    <d v="2026-06-01T00:00:00"/>
    <n v="40"/>
    <s v="January"/>
  </r>
  <r>
    <s v="01-22-2025"/>
    <s v="OTC"/>
    <s v="Pawan Khakhal"/>
    <n v="12"/>
    <x v="1"/>
    <s v="Sun Pharma"/>
    <s v="IBU0225/25"/>
    <d v="2026-10-01T00:00:00"/>
    <n v="36"/>
    <s v="January"/>
  </r>
  <r>
    <s v="01-22-2025"/>
    <s v="Dr. Virender Siwach"/>
    <s v="Mohit Chaberwal"/>
    <n v="4"/>
    <x v="2"/>
    <s v="Dr. Reddyâ€™s"/>
    <s v="AMO0425/25"/>
    <d v="2027-04-01T00:00:00"/>
    <n v="32"/>
    <s v="January"/>
  </r>
  <r>
    <s v="01-22-2025"/>
    <s v="OTC"/>
    <s v="Brijlalal Dhaka"/>
    <n v="8"/>
    <x v="3"/>
    <s v="Zydus Cadila"/>
    <s v="CET0425C"/>
    <d v="2028-01-01T00:00:00"/>
    <n v="24"/>
    <s v="January"/>
  </r>
  <r>
    <s v="01-22-2025"/>
    <s v="Dr. Manohar Pahuja"/>
    <s v="Brijlalal Dhaka"/>
    <n v="25"/>
    <x v="4"/>
    <s v="Lupin"/>
    <s v="MET0225A"/>
    <d v="2027-09-01T00:00:00"/>
    <n v="100"/>
    <s v="January"/>
  </r>
  <r>
    <s v="01-22-2025"/>
    <s v="Dr. Sameer Tuteja"/>
    <s v="Dinesh Sharma"/>
    <n v="27"/>
    <x v="5"/>
    <s v="Torrent Pharma"/>
    <s v="AML1224X"/>
    <d v="2027-01-01T00:00:00"/>
    <n v="135"/>
    <s v="January"/>
  </r>
  <r>
    <s v="01-23-2025"/>
    <s v="Dr. Anshul Sehgal"/>
    <s v="Sumitra Devi"/>
    <n v="10"/>
    <x v="6"/>
    <s v="Alkem Laboratories"/>
    <s v="ATE1224C"/>
    <d v="2027-10-01T00:00:00"/>
    <n v="60"/>
    <s v="January"/>
  </r>
  <r>
    <s v="01-23-2025"/>
    <s v="Dr. Renu Bansal"/>
    <s v="Radhe Shaym"/>
    <n v="16"/>
    <x v="7"/>
    <s v="Cipla"/>
    <s v="SAL0425C"/>
    <d v="2026-06-01T00:00:00"/>
    <n v="64"/>
    <s v="January"/>
  </r>
  <r>
    <s v="01-23-2025"/>
    <s v="Dr. Virender Siwach"/>
    <s v="Ramkla Devi"/>
    <n v="13"/>
    <x v="8"/>
    <s v="Sun Pharma"/>
    <s v="DOX1224A"/>
    <d v="2026-03-01T00:00:00"/>
    <n v="130"/>
    <s v="January"/>
  </r>
  <r>
    <s v="01-23-2025"/>
    <s v="Dr. Rajesh Batra"/>
    <s v="Baljinder Singh"/>
    <n v="13"/>
    <x v="9"/>
    <s v="Mankind Pharma"/>
    <s v="PAN0325/25"/>
    <d v="2027-09-01T00:00:00"/>
    <n v="65"/>
    <s v="January"/>
  </r>
  <r>
    <s v="01-23-2025"/>
    <s v="OTC"/>
    <s v="Tamanna Dhaka"/>
    <n v="22"/>
    <x v="10"/>
    <s v="GSK India"/>
    <s v="CRO0225C"/>
    <d v="2027-11-01T00:00:00"/>
    <n v="44"/>
    <s v="January"/>
  </r>
  <r>
    <s v="01-23-2025"/>
    <s v="OTC"/>
    <s v="Hari Singh"/>
    <n v="20"/>
    <x v="11"/>
    <s v="GSK India"/>
    <s v="ENO0125C"/>
    <d v="2026-02-01T00:00:00"/>
    <n v="200"/>
    <s v="January"/>
  </r>
  <r>
    <s v="01-23-2025"/>
    <s v="Dr. Virender Siwach"/>
    <s v="Sahil Chundwal"/>
    <n v="10"/>
    <x v="12"/>
    <s v="Sanofi India"/>
    <s v="BET0125/25"/>
    <d v="2027-07-01T00:00:00"/>
    <n v="1200"/>
    <s v="January"/>
  </r>
  <r>
    <s v="01-23-2025"/>
    <s v="OTC"/>
    <s v="Sumit Kumar"/>
    <n v="24"/>
    <x v="13"/>
    <s v="Mankind Pharma"/>
    <s v="ALB0225/25"/>
    <d v="2026-03-01T00:00:00"/>
    <n v="480"/>
    <s v="January"/>
  </r>
  <r>
    <s v="01-24-2025"/>
    <s v="Dr. Ramphal Dhaka"/>
    <s v="Naresh Didharia"/>
    <n v="28"/>
    <x v="14"/>
    <s v="Pfizer India"/>
    <s v="OXY0125X"/>
    <d v="2026-02-01T00:00:00"/>
    <n v="840"/>
    <s v="January"/>
  </r>
  <r>
    <s v="01-24-2025"/>
    <s v="OTC"/>
    <s v="Pawan Khakhal"/>
    <n v="3"/>
    <x v="15"/>
    <s v="Abbott India"/>
    <s v="ENR0225B"/>
    <d v="2027-06-01T00:00:00"/>
    <n v="120"/>
    <s v="January"/>
  </r>
  <r>
    <s v="01-24-2025"/>
    <s v="OTC"/>
    <s v="Chander Bhan"/>
    <n v="2"/>
    <x v="16"/>
    <s v="Sun Pharma"/>
    <s v="IVE1224/25"/>
    <d v="2026-09-01T00:00:00"/>
    <n v="100"/>
    <s v="January"/>
  </r>
  <r>
    <s v="01-24-2025"/>
    <s v="Dr. Ramphal Dhaka"/>
    <s v="Umesh Kumar"/>
    <n v="12"/>
    <x v="0"/>
    <s v="Cipla"/>
    <s v="PAR0425B"/>
    <d v="2026-11-01T00:00:00"/>
    <n v="24"/>
    <s v="January"/>
  </r>
  <r>
    <s v="01-24-2025"/>
    <s v="Dr. Satbir Khumber"/>
    <s v="Santosh Rani"/>
    <n v="20"/>
    <x v="1"/>
    <s v="Sun Pharma"/>
    <s v="IBU0425X"/>
    <d v="2027-06-01T00:00:00"/>
    <n v="60"/>
    <s v="January"/>
  </r>
  <r>
    <s v="01-24-2025"/>
    <s v="Dr. HC Dahiya"/>
    <s v="Balbir Fageria"/>
    <n v="23"/>
    <x v="2"/>
    <s v="Dr. Reddyâ€™s"/>
    <s v="AMO1224B"/>
    <d v="2026-08-01T00:00:00"/>
    <n v="184"/>
    <s v="January"/>
  </r>
  <r>
    <s v="01-24-2025"/>
    <s v="Dr. Satbir Khumber"/>
    <s v="Mandeep Kumar"/>
    <n v="29"/>
    <x v="3"/>
    <s v="Zydus Cadila"/>
    <s v="CET1224X"/>
    <d v="2026-08-01T00:00:00"/>
    <n v="87"/>
    <s v="January"/>
  </r>
  <r>
    <s v="01-24-2025"/>
    <s v="Dr. Satbir Khumber"/>
    <s v="Ramkla Devi"/>
    <n v="23"/>
    <x v="4"/>
    <s v="Lupin"/>
    <s v="MET0125/25"/>
    <d v="2027-09-01T00:00:00"/>
    <n v="92"/>
    <s v="January"/>
  </r>
  <r>
    <s v="01-25-2025"/>
    <s v="OTC"/>
    <s v="Radhe Shaym"/>
    <n v="23"/>
    <x v="5"/>
    <s v="Torrent Pharma"/>
    <s v="AML0125C"/>
    <d v="2026-05-01T00:00:00"/>
    <n v="115"/>
    <s v="January"/>
  </r>
  <r>
    <s v="01-25-2025"/>
    <s v="Dr. Geeta Choudhary"/>
    <s v="Tamanna Dhaka"/>
    <n v="29"/>
    <x v="6"/>
    <s v="Alkem Laboratories"/>
    <s v="ATE0225B"/>
    <d v="2027-10-01T00:00:00"/>
    <n v="174"/>
    <s v="January"/>
  </r>
  <r>
    <s v="01-25-2025"/>
    <s v="Dr. Kamaljeet Sambhyl"/>
    <s v="Santosh Rani"/>
    <n v="12"/>
    <x v="7"/>
    <s v="Cipla"/>
    <s v="SAL0425/25"/>
    <d v="2026-10-01T00:00:00"/>
    <n v="48"/>
    <s v="January"/>
  </r>
  <r>
    <s v="01-25-2025"/>
    <s v="Dr. Geeta Choudhary"/>
    <s v="Sumit Kumar"/>
    <n v="18"/>
    <x v="8"/>
    <s v="Sun Pharma"/>
    <s v="DOX0225/25"/>
    <d v="2026-11-01T00:00:00"/>
    <n v="180"/>
    <s v="January"/>
  </r>
  <r>
    <s v="01-25-2025"/>
    <s v="OTC"/>
    <s v="Randhir Fageria"/>
    <n v="8"/>
    <x v="9"/>
    <s v="Mankind Pharma"/>
    <s v="PAN0125B"/>
    <d v="2027-01-01T00:00:00"/>
    <n v="40"/>
    <s v="January"/>
  </r>
  <r>
    <s v="01-25-2025"/>
    <s v="Dr. Rajesh Batra"/>
    <s v="Radhe Shaym"/>
    <n v="13"/>
    <x v="10"/>
    <s v="GSK India"/>
    <s v="CRO0125/25"/>
    <d v="2027-07-01T00:00:00"/>
    <n v="26"/>
    <s v="January"/>
  </r>
  <r>
    <s v="01-25-2025"/>
    <s v="OTC"/>
    <s v="Chander Bhan"/>
    <n v="29"/>
    <x v="11"/>
    <s v="GSK India"/>
    <s v="ENO0125A"/>
    <d v="2026-03-01T00:00:00"/>
    <n v="290"/>
    <s v="January"/>
  </r>
  <r>
    <s v="01-25-2025"/>
    <s v="OTC"/>
    <s v="Hari Singh"/>
    <n v="24"/>
    <x v="12"/>
    <s v="Sanofi India"/>
    <s v="BET1224A"/>
    <d v="2027-03-01T00:00:00"/>
    <n v="2880"/>
    <s v="January"/>
  </r>
  <r>
    <s v="01-26-2025"/>
    <s v="Dr. Amit Narang"/>
    <s v="Sumit Kumar"/>
    <n v="11"/>
    <x v="13"/>
    <s v="Mankind Pharma"/>
    <s v="ALB1224B"/>
    <d v="2026-10-01T00:00:00"/>
    <n v="220"/>
    <s v="January"/>
  </r>
  <r>
    <s v="01-26-2025"/>
    <s v="Dr. Kamaljeet Sambhyl"/>
    <s v="Kuldeep Singh"/>
    <n v="9"/>
    <x v="14"/>
    <s v="Pfizer India"/>
    <s v="OXY0125/25"/>
    <d v="2026-08-01T00:00:00"/>
    <n v="270"/>
    <s v="January"/>
  </r>
  <r>
    <s v="01-26-2025"/>
    <s v="OTC"/>
    <s v="Sita Ram"/>
    <n v="13"/>
    <x v="15"/>
    <s v="Abbott India"/>
    <s v="ENR1224B"/>
    <d v="2026-07-01T00:00:00"/>
    <n v="520"/>
    <s v="January"/>
  </r>
  <r>
    <s v="01-26-2025"/>
    <s v="Dr. Rajesh Batra"/>
    <s v="Pawan Khakhal"/>
    <n v="29"/>
    <x v="16"/>
    <s v="Sun Pharma"/>
    <s v="IVE0125A"/>
    <d v="2027-03-01T00:00:00"/>
    <n v="1450"/>
    <s v="January"/>
  </r>
  <r>
    <s v="01-26-2025"/>
    <s v="OTC"/>
    <s v="Manisha Rani"/>
    <n v="19"/>
    <x v="0"/>
    <s v="Cipla"/>
    <s v="PAR0225B"/>
    <d v="2026-11-01T00:00:00"/>
    <n v="38"/>
    <s v="January"/>
  </r>
  <r>
    <s v="01-26-2025"/>
    <s v="Dr. Ramphal Dhaka"/>
    <s v="Sumitra Devi"/>
    <n v="2"/>
    <x v="1"/>
    <s v="Sun Pharma"/>
    <s v="IBU1224/25"/>
    <d v="2027-06-01T00:00:00"/>
    <n v="6"/>
    <s v="January"/>
  </r>
  <r>
    <s v="01-26-2025"/>
    <s v="Dr. Satbir Khumber"/>
    <s v="Manisha Rani"/>
    <n v="4"/>
    <x v="2"/>
    <s v="Dr. Reddyâ€™s"/>
    <s v="AMO0125X"/>
    <d v="2027-07-01T00:00:00"/>
    <n v="32"/>
    <s v="January"/>
  </r>
  <r>
    <s v="01-26-2025"/>
    <s v="Dr. Sameer Tuteja"/>
    <s v="Pawan Khakhal"/>
    <n v="10"/>
    <x v="3"/>
    <s v="Zydus Cadila"/>
    <s v="CET0125/25"/>
    <d v="2027-04-01T00:00:00"/>
    <n v="30"/>
    <s v="January"/>
  </r>
  <r>
    <s v="01-27-2025"/>
    <s v="Dr. Virender Siwach"/>
    <s v="Ankit Bhadu"/>
    <n v="19"/>
    <x v="4"/>
    <s v="Lupin"/>
    <s v="MET0325/25"/>
    <d v="2027-10-01T00:00:00"/>
    <n v="76"/>
    <s v="January"/>
  </r>
  <r>
    <s v="01-27-2025"/>
    <s v="Dr. Amit Narang"/>
    <s v="Amit Dhaka"/>
    <n v="10"/>
    <x v="5"/>
    <s v="Torrent Pharma"/>
    <s v="AML0325/25"/>
    <d v="2027-05-01T00:00:00"/>
    <n v="50"/>
    <s v="January"/>
  </r>
  <r>
    <s v="01-27-2025"/>
    <s v="Dr. Manohar Pahuja"/>
    <s v="Ram Kumar"/>
    <n v="21"/>
    <x v="6"/>
    <s v="Alkem Laboratories"/>
    <s v="ATE0125B"/>
    <d v="2026-05-01T00:00:00"/>
    <n v="126"/>
    <s v="January"/>
  </r>
  <r>
    <s v="01-27-2025"/>
    <s v="Dr. Kamaljeet Sambhyl"/>
    <s v="Ramkla Devi"/>
    <n v="26"/>
    <x v="7"/>
    <s v="Cipla"/>
    <s v="SAL0125/25"/>
    <d v="2026-10-01T00:00:00"/>
    <n v="104"/>
    <s v="January"/>
  </r>
  <r>
    <s v="01-27-2025"/>
    <s v="Dr. HC Dahiya"/>
    <s v="Sanjay Riwar"/>
    <n v="27"/>
    <x v="8"/>
    <s v="Sun Pharma"/>
    <s v="DOX0225C"/>
    <d v="2027-12-01T00:00:00"/>
    <n v="270"/>
    <s v="January"/>
  </r>
  <r>
    <s v="01-27-2025"/>
    <s v="Dr. Rajesh Batra"/>
    <s v="Santosh Rani"/>
    <n v="28"/>
    <x v="9"/>
    <s v="Mankind Pharma"/>
    <s v="PAN0425/25"/>
    <d v="2027-02-01T00:00:00"/>
    <n v="140"/>
    <s v="January"/>
  </r>
  <r>
    <s v="01-27-2025"/>
    <s v="Dr. Renu Bansal"/>
    <s v="Santosh Rani"/>
    <n v="12"/>
    <x v="10"/>
    <s v="GSK India"/>
    <s v="CRO0225C"/>
    <d v="2026-12-01T00:00:00"/>
    <n v="24"/>
    <s v="January"/>
  </r>
  <r>
    <s v="01-27-2025"/>
    <s v="OTC"/>
    <s v="Ram Kumar"/>
    <n v="29"/>
    <x v="11"/>
    <s v="GSK India"/>
    <s v="ENO0325C"/>
    <d v="2028-02-01T00:00:00"/>
    <n v="290"/>
    <s v="January"/>
  </r>
  <r>
    <s v="01-28-2025"/>
    <s v="OTC"/>
    <s v="Yogesh Khicher"/>
    <n v="11"/>
    <x v="12"/>
    <s v="Sanofi India"/>
    <s v="BET0125C"/>
    <d v="2026-03-01T00:00:00"/>
    <n v="1320"/>
    <s v="January"/>
  </r>
  <r>
    <s v="01-28-2025"/>
    <s v="Dr. Sameer Tuteja"/>
    <s v="Raman Dhaka"/>
    <n v="24"/>
    <x v="13"/>
    <s v="Mankind Pharma"/>
    <s v="ALB0325A"/>
    <d v="2026-03-01T00:00:00"/>
    <n v="480"/>
    <s v="January"/>
  </r>
  <r>
    <s v="01-28-2025"/>
    <s v="Dr. Anshul Sehgal"/>
    <s v="Ramkla Devi"/>
    <n v="5"/>
    <x v="14"/>
    <s v="Pfizer India"/>
    <s v="OXY0425/25"/>
    <d v="2026-12-01T00:00:00"/>
    <n v="150"/>
    <s v="January"/>
  </r>
  <r>
    <s v="01-28-2025"/>
    <s v="Dr. Anshul Sehgal"/>
    <s v="Naseeb Khakhal"/>
    <n v="2"/>
    <x v="15"/>
    <s v="Abbott India"/>
    <s v="ENR1224B"/>
    <d v="2027-01-01T00:00:00"/>
    <n v="80"/>
    <s v="January"/>
  </r>
  <r>
    <s v="01-28-2025"/>
    <s v="Dr. Geeta Choudhary"/>
    <s v="Sumitra Devi"/>
    <n v="11"/>
    <x v="16"/>
    <s v="Sun Pharma"/>
    <s v="IVE0325B"/>
    <d v="2026-06-01T00:00:00"/>
    <n v="550"/>
    <s v="January"/>
  </r>
  <r>
    <s v="01-28-2025"/>
    <s v="Dr. Renu Bansal"/>
    <s v="Amit Dhaka"/>
    <n v="11"/>
    <x v="0"/>
    <s v="Cipla"/>
    <s v="PAR0225/25"/>
    <d v="2027-07-01T00:00:00"/>
    <n v="22"/>
    <s v="January"/>
  </r>
  <r>
    <s v="01-28-2025"/>
    <s v="OTC"/>
    <s v="Brijlalal Dhaka"/>
    <n v="9"/>
    <x v="1"/>
    <s v="Sun Pharma"/>
    <s v="IBU0125C"/>
    <d v="2026-11-01T00:00:00"/>
    <n v="27"/>
    <s v="January"/>
  </r>
  <r>
    <s v="01-28-2025"/>
    <s v="OTC"/>
    <s v="Shyam Sunder"/>
    <n v="2"/>
    <x v="2"/>
    <s v="Dr. Reddyâ€™s"/>
    <s v="AMO0125X"/>
    <d v="2026-05-01T00:00:00"/>
    <n v="16"/>
    <s v="January"/>
  </r>
  <r>
    <s v="01-29-2025"/>
    <s v="Dr. Rajesh Batra"/>
    <s v="Amit Dhaka"/>
    <n v="28"/>
    <x v="3"/>
    <s v="Zydus Cadila"/>
    <s v="CET0425/25"/>
    <d v="2026-06-01T00:00:00"/>
    <n v="84"/>
    <s v="January"/>
  </r>
  <r>
    <s v="01-29-2025"/>
    <s v="Dr. Virender Siwach"/>
    <s v="Ram Kumar"/>
    <n v="26"/>
    <x v="4"/>
    <s v="Lupin"/>
    <s v="MET0225A"/>
    <d v="2027-09-01T00:00:00"/>
    <n v="104"/>
    <s v="January"/>
  </r>
  <r>
    <s v="01-29-2025"/>
    <s v="Dr. Ramphal Dhaka"/>
    <s v="Randhir Fageria"/>
    <n v="9"/>
    <x v="5"/>
    <s v="Torrent Pharma"/>
    <s v="AML0425C"/>
    <d v="2027-09-01T00:00:00"/>
    <n v="45"/>
    <s v="January"/>
  </r>
  <r>
    <s v="01-29-2025"/>
    <s v="OTC"/>
    <s v="Umesh Kumar"/>
    <n v="9"/>
    <x v="6"/>
    <s v="Alkem Laboratories"/>
    <s v="ATE0225X"/>
    <d v="2027-10-01T00:00:00"/>
    <n v="54"/>
    <s v="January"/>
  </r>
  <r>
    <s v="01-29-2025"/>
    <s v="Dr. Ramphal Dhaka"/>
    <s v="Shyam Sunder"/>
    <n v="20"/>
    <x v="7"/>
    <s v="Cipla"/>
    <s v="SAL0425C"/>
    <d v="2027-11-01T00:00:00"/>
    <n v="80"/>
    <s v="January"/>
  </r>
  <r>
    <s v="01-29-2025"/>
    <s v="OTC"/>
    <s v="Sita Ram"/>
    <n v="2"/>
    <x v="8"/>
    <s v="Sun Pharma"/>
    <s v="DOX0225X"/>
    <d v="2026-12-01T00:00:00"/>
    <n v="20"/>
    <s v="January"/>
  </r>
  <r>
    <s v="01-29-2025"/>
    <s v="OTC"/>
    <s v="Sita Ram"/>
    <n v="9"/>
    <x v="9"/>
    <s v="Mankind Pharma"/>
    <s v="PAN0225X"/>
    <d v="2027-01-01T00:00:00"/>
    <n v="45"/>
    <s v="January"/>
  </r>
  <r>
    <s v="01-29-2025"/>
    <s v="OTC"/>
    <s v="Mandeep Kumar"/>
    <n v="10"/>
    <x v="10"/>
    <s v="GSK India"/>
    <s v="CRO0225C"/>
    <d v="2027-05-01T00:00:00"/>
    <n v="20"/>
    <s v="January"/>
  </r>
  <r>
    <s v="01-30-2025"/>
    <s v="Dr. Vinay Singla"/>
    <s v="Randhir Fageria"/>
    <n v="8"/>
    <x v="11"/>
    <s v="GSK India"/>
    <s v="ENO1224X"/>
    <d v="2026-06-01T00:00:00"/>
    <n v="80"/>
    <s v="January"/>
  </r>
  <r>
    <s v="01-30-2025"/>
    <s v="Dr. Kamaljeet Sambhyl"/>
    <s v="Naseeb Khakhal"/>
    <n v="7"/>
    <x v="12"/>
    <s v="Sanofi India"/>
    <s v="BET0125X"/>
    <d v="2026-09-01T00:00:00"/>
    <n v="840"/>
    <s v="January"/>
  </r>
  <r>
    <s v="01-30-2025"/>
    <s v="Dr. Geeta Choudhary"/>
    <s v="Sanjay Riwar"/>
    <n v="9"/>
    <x v="13"/>
    <s v="Mankind Pharma"/>
    <s v="ALB1224C"/>
    <d v="2027-04-01T00:00:00"/>
    <n v="180"/>
    <s v="January"/>
  </r>
  <r>
    <s v="01-30-2025"/>
    <s v="Dr. Manohar Pahuja"/>
    <s v="Randhir Fageria"/>
    <n v="2"/>
    <x v="14"/>
    <s v="Pfizer India"/>
    <s v="OXY0225X"/>
    <d v="2027-03-01T00:00:00"/>
    <n v="60"/>
    <s v="January"/>
  </r>
  <r>
    <s v="01-30-2025"/>
    <s v="Dr. Virender Siwach"/>
    <s v="Mandeep Kumar"/>
    <n v="8"/>
    <x v="15"/>
    <s v="Abbott India"/>
    <s v="ENR0325C"/>
    <d v="2026-05-01T00:00:00"/>
    <n v="320"/>
    <s v="January"/>
  </r>
  <r>
    <s v="01-30-2025"/>
    <s v="OTC"/>
    <s v="Amar Burdak"/>
    <n v="25"/>
    <x v="16"/>
    <s v="Sun Pharma"/>
    <s v="IVE0325A"/>
    <d v="2026-05-01T00:00:00"/>
    <n v="1250"/>
    <s v="January"/>
  </r>
  <r>
    <s v="01-30-2025"/>
    <s v="Dr. Ramphal Dhaka"/>
    <s v="Mohit Chaberwal"/>
    <n v="30"/>
    <x v="0"/>
    <s v="Cipla"/>
    <s v="PAR0225A"/>
    <d v="2026-03-01T00:00:00"/>
    <n v="60"/>
    <s v="January"/>
  </r>
  <r>
    <s v="01-30-2025"/>
    <s v="Dr. Sameer Tuteja"/>
    <s v="Santosh Rani"/>
    <n v="11"/>
    <x v="1"/>
    <s v="Sun Pharma"/>
    <s v="IBU1224B"/>
    <d v="2026-07-01T00:00:00"/>
    <n v="33"/>
    <s v="January"/>
  </r>
  <r>
    <s v="01-31-2025"/>
    <s v="Dr. Amit Narang"/>
    <s v="Raman Dhaka"/>
    <n v="21"/>
    <x v="2"/>
    <s v="Dr. Reddyâ€™s"/>
    <s v="AMO0425/25"/>
    <d v="2027-02-01T00:00:00"/>
    <n v="168"/>
    <s v="January"/>
  </r>
  <r>
    <s v="01-31-2025"/>
    <s v="Dr. Renu Bansal"/>
    <s v="Manisha Rani"/>
    <n v="12"/>
    <x v="3"/>
    <s v="Zydus Cadila"/>
    <s v="CET0225C"/>
    <d v="2026-08-01T00:00:00"/>
    <n v="36"/>
    <s v="January"/>
  </r>
  <r>
    <s v="01-31-2025"/>
    <s v="Dr. Vinay Singla"/>
    <s v="Sanjay Riwar"/>
    <n v="10"/>
    <x v="4"/>
    <s v="Lupin"/>
    <s v="MET0325/25"/>
    <d v="2027-02-01T00:00:00"/>
    <n v="40"/>
    <s v="January"/>
  </r>
  <r>
    <s v="01-31-2025"/>
    <s v="OTC"/>
    <s v="Mandeep Kumar"/>
    <n v="28"/>
    <x v="5"/>
    <s v="Torrent Pharma"/>
    <s v="AML0325C"/>
    <d v="2026-03-01T00:00:00"/>
    <n v="140"/>
    <s v="January"/>
  </r>
  <r>
    <s v="01-31-2025"/>
    <s v="Dr. Kamaljeet Sambhyl"/>
    <s v="Sumitra Devi"/>
    <n v="9"/>
    <x v="6"/>
    <s v="Alkem Laboratories"/>
    <s v="ATE0225A"/>
    <d v="2026-03-01T00:00:00"/>
    <n v="54"/>
    <s v="January"/>
  </r>
  <r>
    <s v="01-31-2025"/>
    <s v="Dr. Manohar Pahuja"/>
    <s v="Radhe Shaym"/>
    <n v="3"/>
    <x v="7"/>
    <s v="Cipla"/>
    <s v="SAL1224/25"/>
    <d v="2026-02-01T00:00:00"/>
    <n v="12"/>
    <s v="January"/>
  </r>
  <r>
    <s v="01-31-2025"/>
    <s v="OTC"/>
    <s v="Amit Dhaka"/>
    <n v="26"/>
    <x v="8"/>
    <s v="Sun Pharma"/>
    <s v="DOX0225X"/>
    <d v="2027-04-01T00:00:00"/>
    <n v="260"/>
    <s v="January"/>
  </r>
  <r>
    <s v="01-31-2025"/>
    <s v="Dr. Anshul Sehgal"/>
    <s v="Mohit Chaberwal"/>
    <n v="26"/>
    <x v="9"/>
    <s v="Mankind Pharma"/>
    <s v="PAN0225B"/>
    <d v="2027-02-01T00:00:00"/>
    <n v="130"/>
    <s v="January"/>
  </r>
  <r>
    <d v="2025-01-02T00:00:00"/>
    <s v="Dr. Kamaljeet Sambhyl"/>
    <s v="Yogesh Khicher"/>
    <n v="27"/>
    <x v="10"/>
    <s v="GSK India"/>
    <s v="CRO0425C"/>
    <d v="2027-08-01T00:00:00"/>
    <n v="54"/>
    <s v="February"/>
  </r>
  <r>
    <d v="2025-01-02T00:00:00"/>
    <s v="Dr. Amit Narang"/>
    <s v="Pawan Khakhal"/>
    <n v="23"/>
    <x v="11"/>
    <s v="GSK India"/>
    <s v="ENO0425C"/>
    <d v="2027-03-01T00:00:00"/>
    <n v="230"/>
    <s v="February"/>
  </r>
  <r>
    <d v="2025-01-02T00:00:00"/>
    <s v="Dr. Anshul Sehgal"/>
    <s v="Brijlalal Dhaka"/>
    <n v="27"/>
    <x v="12"/>
    <s v="Sanofi India"/>
    <s v="BET0325C"/>
    <d v="2027-03-01T00:00:00"/>
    <n v="3240"/>
    <s v="February"/>
  </r>
  <r>
    <d v="2025-01-02T00:00:00"/>
    <s v="Dr. Ramphal Dhaka"/>
    <s v="Mohit Chaberwal"/>
    <n v="9"/>
    <x v="13"/>
    <s v="Mankind Pharma"/>
    <s v="ALB0225A"/>
    <d v="2027-11-01T00:00:00"/>
    <n v="180"/>
    <s v="February"/>
  </r>
  <r>
    <d v="2025-01-02T00:00:00"/>
    <s v="OTC"/>
    <s v="Sube Ram"/>
    <n v="13"/>
    <x v="14"/>
    <s v="Pfizer India"/>
    <s v="OXY0325B"/>
    <d v="2026-04-01T00:00:00"/>
    <n v="390"/>
    <s v="February"/>
  </r>
  <r>
    <d v="2025-01-02T00:00:00"/>
    <s v="Dr. Renu Bansal"/>
    <s v="Amit Dhaka"/>
    <n v="7"/>
    <x v="15"/>
    <s v="Abbott India"/>
    <s v="ENR0325/25"/>
    <d v="2027-10-01T00:00:00"/>
    <n v="280"/>
    <s v="February"/>
  </r>
  <r>
    <d v="2025-01-02T00:00:00"/>
    <s v="Dr. Virender Siwach"/>
    <s v="Randhir Fageria"/>
    <n v="24"/>
    <x v="16"/>
    <s v="Sun Pharma"/>
    <s v="IVE0325B"/>
    <d v="2027-12-01T00:00:00"/>
    <n v="1200"/>
    <s v="February"/>
  </r>
  <r>
    <d v="2025-01-02T00:00:00"/>
    <s v="Dr. Geeta Choudhary"/>
    <s v="Sita Ram"/>
    <n v="16"/>
    <x v="0"/>
    <s v="Cipla"/>
    <s v="PAR0325B"/>
    <d v="2027-12-01T00:00:00"/>
    <n v="32"/>
    <s v="February"/>
  </r>
  <r>
    <d v="2025-02-02T00:00:00"/>
    <s v="Dr. Rajesh Batra"/>
    <s v="Pawan Khakhal"/>
    <n v="23"/>
    <x v="1"/>
    <s v="Sun Pharma"/>
    <s v="IBU0225/25"/>
    <d v="2027-07-01T00:00:00"/>
    <n v="69"/>
    <s v="February"/>
  </r>
  <r>
    <d v="2025-02-02T00:00:00"/>
    <s v="Dr. Virender Siwach"/>
    <s v="Amit Dhaka"/>
    <n v="20"/>
    <x v="2"/>
    <s v="Dr. Reddyâ€™s"/>
    <s v="AMO0225B"/>
    <d v="2026-03-01T00:00:00"/>
    <n v="160"/>
    <s v="February"/>
  </r>
  <r>
    <d v="2025-02-02T00:00:00"/>
    <s v="Dr. Manohar Pahuja"/>
    <s v="Naseeb Khakhal"/>
    <n v="12"/>
    <x v="3"/>
    <s v="Zydus Cadila"/>
    <s v="CET0125C"/>
    <d v="2027-10-01T00:00:00"/>
    <n v="36"/>
    <s v="February"/>
  </r>
  <r>
    <d v="2025-02-02T00:00:00"/>
    <s v="Dr. Ramphal Dhaka"/>
    <s v="Krishan Singh"/>
    <n v="24"/>
    <x v="4"/>
    <s v="Lupin"/>
    <s v="MET0225B"/>
    <d v="2026-06-01T00:00:00"/>
    <n v="96"/>
    <s v="February"/>
  </r>
  <r>
    <d v="2025-02-02T00:00:00"/>
    <s v="OTC"/>
    <s v="Baljinder Singh"/>
    <n v="6"/>
    <x v="5"/>
    <s v="Torrent Pharma"/>
    <s v="AML0225/25"/>
    <d v="2027-07-01T00:00:00"/>
    <n v="30"/>
    <s v="February"/>
  </r>
  <r>
    <d v="2025-02-02T00:00:00"/>
    <s v="Dr. Sameer Tuteja"/>
    <s v="Ankit Bhadu"/>
    <n v="26"/>
    <x v="6"/>
    <s v="Alkem Laboratories"/>
    <s v="ATE0325B"/>
    <d v="2027-07-01T00:00:00"/>
    <n v="156"/>
    <s v="February"/>
  </r>
  <r>
    <d v="2025-02-02T00:00:00"/>
    <s v="OTC"/>
    <s v="Mohit Chaberwal"/>
    <n v="13"/>
    <x v="7"/>
    <s v="Cipla"/>
    <s v="SAL1224X"/>
    <d v="2027-01-01T00:00:00"/>
    <n v="52"/>
    <s v="February"/>
  </r>
  <r>
    <d v="2025-02-02T00:00:00"/>
    <s v="Dr. Virender Siwach"/>
    <s v="Chander Bhan"/>
    <n v="28"/>
    <x v="8"/>
    <s v="Sun Pharma"/>
    <s v="DOX0325A"/>
    <d v="2026-03-01T00:00:00"/>
    <n v="280"/>
    <s v="February"/>
  </r>
  <r>
    <d v="2025-03-02T00:00:00"/>
    <s v="OTC"/>
    <s v="Tamanna Dhaka"/>
    <n v="28"/>
    <x v="9"/>
    <s v="Mankind Pharma"/>
    <s v="PAN0225C"/>
    <d v="2028-01-01T00:00:00"/>
    <n v="140"/>
    <s v="February"/>
  </r>
  <r>
    <d v="2025-03-02T00:00:00"/>
    <s v="Dr. Virender Siwach"/>
    <s v="Balbir Fageria"/>
    <n v="30"/>
    <x v="10"/>
    <s v="GSK India"/>
    <s v="CRO0225B"/>
    <d v="2027-08-01T00:00:00"/>
    <n v="60"/>
    <s v="February"/>
  </r>
  <r>
    <d v="2025-03-02T00:00:00"/>
    <s v="OTC"/>
    <s v="Manisha Rani"/>
    <n v="19"/>
    <x v="11"/>
    <s v="GSK India"/>
    <s v="ENO0325B"/>
    <d v="2026-04-01T00:00:00"/>
    <n v="190"/>
    <s v="February"/>
  </r>
  <r>
    <d v="2025-03-02T00:00:00"/>
    <s v="Dr. Kamaljeet Sambhyl"/>
    <s v="Yogesh Khicher"/>
    <n v="28"/>
    <x v="12"/>
    <s v="Sanofi India"/>
    <s v="BET0425/25"/>
    <d v="2026-10-01T00:00:00"/>
    <n v="3360"/>
    <s v="February"/>
  </r>
  <r>
    <d v="2025-03-02T00:00:00"/>
    <s v="Dr. HC Dahiya"/>
    <s v="Sube Ram"/>
    <n v="8"/>
    <x v="13"/>
    <s v="Mankind Pharma"/>
    <s v="ALB0425/25"/>
    <d v="2026-09-01T00:00:00"/>
    <n v="160"/>
    <s v="February"/>
  </r>
  <r>
    <d v="2025-03-02T00:00:00"/>
    <s v="Dr. Satbir Khumber"/>
    <s v="Sahil Chundwal"/>
    <n v="27"/>
    <x v="14"/>
    <s v="Pfizer India"/>
    <s v="OXY1224/25"/>
    <d v="2026-01-01T00:00:00"/>
    <n v="810"/>
    <s v="February"/>
  </r>
  <r>
    <d v="2025-03-02T00:00:00"/>
    <s v="Dr. Satbir Khumber"/>
    <s v="Krishan Singh"/>
    <n v="28"/>
    <x v="15"/>
    <s v="Abbott India"/>
    <s v="ENR0125A"/>
    <d v="2027-09-01T00:00:00"/>
    <n v="1120"/>
    <s v="February"/>
  </r>
  <r>
    <d v="2025-03-02T00:00:00"/>
    <s v="Dr. Geeta Choudhary"/>
    <s v="Randhir Fageria"/>
    <n v="22"/>
    <x v="16"/>
    <s v="Sun Pharma"/>
    <s v="IVE0125C"/>
    <d v="2026-01-01T00:00:00"/>
    <n v="1100"/>
    <s v="February"/>
  </r>
  <r>
    <d v="2025-04-02T00:00:00"/>
    <s v="OTC"/>
    <s v="Sumitra Devi"/>
    <n v="17"/>
    <x v="0"/>
    <s v="Cipla"/>
    <s v="PAR0325/25"/>
    <d v="2028-02-01T00:00:00"/>
    <n v="34"/>
    <s v="February"/>
  </r>
  <r>
    <d v="2025-04-02T00:00:00"/>
    <s v="Dr. Satbir Khumber"/>
    <s v="Santosh Rani"/>
    <n v="3"/>
    <x v="1"/>
    <s v="Sun Pharma"/>
    <s v="IBU0225A"/>
    <d v="2027-01-01T00:00:00"/>
    <n v="9"/>
    <s v="February"/>
  </r>
  <r>
    <d v="2025-04-02T00:00:00"/>
    <s v="OTC"/>
    <s v="Sube Ram"/>
    <n v="26"/>
    <x v="2"/>
    <s v="Dr. Reddyâ€™s"/>
    <s v="AMO0325/25"/>
    <d v="2027-11-01T00:00:00"/>
    <n v="208"/>
    <s v="February"/>
  </r>
  <r>
    <d v="2025-04-02T00:00:00"/>
    <s v="Dr. Sameer Tuteja"/>
    <s v="Yogesh Khicher"/>
    <n v="9"/>
    <x v="3"/>
    <s v="Zydus Cadila"/>
    <s v="CET0325C"/>
    <d v="2027-08-01T00:00:00"/>
    <n v="27"/>
    <s v="February"/>
  </r>
  <r>
    <d v="2025-04-02T00:00:00"/>
    <s v="Dr. Manohar Pahuja"/>
    <s v="Shyam Sunder"/>
    <n v="24"/>
    <x v="4"/>
    <s v="Lupin"/>
    <s v="MET0325/25"/>
    <d v="2027-10-01T00:00:00"/>
    <n v="96"/>
    <s v="February"/>
  </r>
  <r>
    <d v="2025-04-02T00:00:00"/>
    <s v="Dr. Virender Siwach"/>
    <s v="Sumit Kumar"/>
    <n v="26"/>
    <x v="5"/>
    <s v="Torrent Pharma"/>
    <s v="AML0425A"/>
    <d v="2028-03-01T00:00:00"/>
    <n v="130"/>
    <s v="February"/>
  </r>
  <r>
    <d v="2025-04-02T00:00:00"/>
    <s v="Dr. Sameer Tuteja"/>
    <s v="Raman Dhaka"/>
    <n v="12"/>
    <x v="6"/>
    <s v="Alkem Laboratories"/>
    <s v="ATE0425X"/>
    <d v="2027-10-01T00:00:00"/>
    <n v="72"/>
    <s v="February"/>
  </r>
  <r>
    <d v="2025-04-02T00:00:00"/>
    <s v="Dr. Sameer Tuteja"/>
    <s v="Kuldeep Singh"/>
    <n v="22"/>
    <x v="7"/>
    <s v="Cipla"/>
    <s v="SAL0125X"/>
    <d v="2027-11-01T00:00:00"/>
    <n v="88"/>
    <s v="February"/>
  </r>
  <r>
    <d v="2025-05-02T00:00:00"/>
    <s v="Dr. Satbir Khumber"/>
    <s v="Dinesh Sharma"/>
    <n v="25"/>
    <x v="8"/>
    <s v="Sun Pharma"/>
    <s v="DOX0225C"/>
    <d v="2026-09-01T00:00:00"/>
    <n v="250"/>
    <s v="February"/>
  </r>
  <r>
    <d v="2025-05-02T00:00:00"/>
    <s v="OTC"/>
    <s v="Sube Ram"/>
    <n v="17"/>
    <x v="9"/>
    <s v="Mankind Pharma"/>
    <s v="PAN0325B"/>
    <d v="2027-02-01T00:00:00"/>
    <n v="85"/>
    <s v="February"/>
  </r>
  <r>
    <d v="2025-05-02T00:00:00"/>
    <s v="Dr. Vinay Singla"/>
    <s v="Sumit Kumar"/>
    <n v="29"/>
    <x v="10"/>
    <s v="GSK India"/>
    <s v="CRO0125C"/>
    <d v="2027-07-01T00:00:00"/>
    <n v="58"/>
    <s v="February"/>
  </r>
  <r>
    <d v="2025-05-02T00:00:00"/>
    <s v="Dr. Renu Bansal"/>
    <s v="Manisha Rani"/>
    <n v="27"/>
    <x v="11"/>
    <s v="GSK India"/>
    <s v="ENO0425/25"/>
    <d v="2026-09-01T00:00:00"/>
    <n v="270"/>
    <s v="February"/>
  </r>
  <r>
    <d v="2025-05-02T00:00:00"/>
    <s v="Dr. Geeta Choudhary"/>
    <s v="Balbir Fageria"/>
    <n v="11"/>
    <x v="12"/>
    <s v="Sanofi India"/>
    <s v="BET0225X"/>
    <d v="2026-08-01T00:00:00"/>
    <n v="1320"/>
    <s v="February"/>
  </r>
  <r>
    <d v="2025-05-02T00:00:00"/>
    <s v="Dr. Vinay Singla"/>
    <s v="Raman Dhaka"/>
    <n v="27"/>
    <x v="13"/>
    <s v="Mankind Pharma"/>
    <s v="ALB0125/25"/>
    <d v="2027-09-01T00:00:00"/>
    <n v="540"/>
    <s v="February"/>
  </r>
  <r>
    <d v="2025-05-02T00:00:00"/>
    <s v="Dr. Sameer Tuteja"/>
    <s v="Chander Bhan"/>
    <n v="2"/>
    <x v="14"/>
    <s v="Pfizer India"/>
    <s v="OXY1224A"/>
    <d v="2026-04-01T00:00:00"/>
    <n v="60"/>
    <s v="February"/>
  </r>
  <r>
    <d v="2025-05-02T00:00:00"/>
    <s v="Dr. Manohar Pahuja"/>
    <s v="Baljinder Singh"/>
    <n v="28"/>
    <x v="15"/>
    <s v="Abbott India"/>
    <s v="ENR0225B"/>
    <d v="2028-01-01T00:00:00"/>
    <n v="1120"/>
    <s v="February"/>
  </r>
  <r>
    <d v="2025-06-02T00:00:00"/>
    <s v="Dr. Sameer Tuteja"/>
    <s v="Chander Bhan"/>
    <n v="30"/>
    <x v="16"/>
    <s v="Sun Pharma"/>
    <s v="IVE0325/25"/>
    <d v="2026-08-01T00:00:00"/>
    <n v="1500"/>
    <s v="February"/>
  </r>
  <r>
    <d v="2025-06-02T00:00:00"/>
    <s v="Dr. Virender Siwach"/>
    <s v="Naresh Didharia"/>
    <n v="16"/>
    <x v="0"/>
    <s v="Cipla"/>
    <s v="PAR0425X"/>
    <d v="2027-05-01T00:00:00"/>
    <n v="32"/>
    <s v="February"/>
  </r>
  <r>
    <d v="2025-06-02T00:00:00"/>
    <s v="Dr. Kamaljeet Sambhyl"/>
    <s v="Manisha Rani"/>
    <n v="27"/>
    <x v="1"/>
    <s v="Sun Pharma"/>
    <s v="IBU0125/25"/>
    <d v="2027-05-01T00:00:00"/>
    <n v="81"/>
    <s v="February"/>
  </r>
  <r>
    <d v="2025-06-02T00:00:00"/>
    <s v="Dr. Geeta Choudhary"/>
    <s v="Sumitra Devi"/>
    <n v="14"/>
    <x v="2"/>
    <s v="Dr. Reddyâ€™s"/>
    <s v="AMO0325C"/>
    <d v="2027-03-01T00:00:00"/>
    <n v="112"/>
    <s v="February"/>
  </r>
  <r>
    <d v="2025-06-02T00:00:00"/>
    <s v="Dr. Rajesh Batra"/>
    <s v="Ram Kumar"/>
    <n v="30"/>
    <x v="3"/>
    <s v="Zydus Cadila"/>
    <s v="CET1224/25"/>
    <d v="2026-04-01T00:00:00"/>
    <n v="90"/>
    <s v="February"/>
  </r>
  <r>
    <d v="2025-06-02T00:00:00"/>
    <s v="Dr. Satbir Khumber"/>
    <s v="Dinesh Sharma"/>
    <n v="12"/>
    <x v="4"/>
    <s v="Lupin"/>
    <s v="MET1224C"/>
    <d v="2026-12-01T00:00:00"/>
    <n v="48"/>
    <s v="February"/>
  </r>
  <r>
    <d v="2025-06-02T00:00:00"/>
    <s v="OTC"/>
    <s v="Sahil Chundwal"/>
    <n v="25"/>
    <x v="5"/>
    <s v="Torrent Pharma"/>
    <s v="AML0325B"/>
    <d v="2028-01-01T00:00:00"/>
    <n v="125"/>
    <s v="February"/>
  </r>
  <r>
    <d v="2025-06-02T00:00:00"/>
    <s v="Dr. Renu Bansal"/>
    <s v="Brijlalal Dhaka"/>
    <n v="7"/>
    <x v="6"/>
    <s v="Alkem Laboratories"/>
    <s v="ATE1224B"/>
    <d v="2027-03-01T00:00:00"/>
    <n v="42"/>
    <s v="February"/>
  </r>
  <r>
    <d v="2025-07-02T00:00:00"/>
    <s v="Dr. Anshul Sehgal"/>
    <s v="Sita Ram"/>
    <n v="13"/>
    <x v="7"/>
    <s v="Cipla"/>
    <s v="SAL0225C"/>
    <d v="2026-02-01T00:00:00"/>
    <n v="52"/>
    <s v="February"/>
  </r>
  <r>
    <d v="2025-07-02T00:00:00"/>
    <s v="Dr. Virender Siwach"/>
    <s v="Mandeep Kumar"/>
    <n v="24"/>
    <x v="8"/>
    <s v="Sun Pharma"/>
    <s v="DOX0225X"/>
    <d v="2026-04-01T00:00:00"/>
    <n v="240"/>
    <s v="February"/>
  </r>
  <r>
    <d v="2025-07-02T00:00:00"/>
    <s v="OTC"/>
    <s v="Amar Burdak"/>
    <n v="4"/>
    <x v="9"/>
    <s v="Mankind Pharma"/>
    <s v="PAN0225A"/>
    <d v="2027-04-01T00:00:00"/>
    <n v="20"/>
    <s v="February"/>
  </r>
  <r>
    <d v="2025-07-02T00:00:00"/>
    <s v="Dr. Amit Narang"/>
    <s v="Shyam Sunder"/>
    <n v="11"/>
    <x v="10"/>
    <s v="GSK India"/>
    <s v="CRO0425C"/>
    <d v="2026-11-01T00:00:00"/>
    <n v="22"/>
    <s v="February"/>
  </r>
  <r>
    <d v="2025-07-02T00:00:00"/>
    <s v="Dr. Satbir Khumber"/>
    <s v="Balbir Fageria"/>
    <n v="30"/>
    <x v="11"/>
    <s v="GSK India"/>
    <s v="ENO0325A"/>
    <d v="2026-06-01T00:00:00"/>
    <n v="300"/>
    <s v="February"/>
  </r>
  <r>
    <d v="2025-07-02T00:00:00"/>
    <s v="OTC"/>
    <s v="Amar Burdak"/>
    <n v="5"/>
    <x v="12"/>
    <s v="Sanofi India"/>
    <s v="BET1224B"/>
    <d v="2026-05-01T00:00:00"/>
    <n v="600"/>
    <s v="February"/>
  </r>
  <r>
    <d v="2025-07-02T00:00:00"/>
    <s v="Dr. Kamaljeet Sambhyl"/>
    <s v="Mohit Chaberwal"/>
    <n v="4"/>
    <x v="13"/>
    <s v="Mankind Pharma"/>
    <s v="ALB1224/25"/>
    <d v="2027-03-01T00:00:00"/>
    <n v="80"/>
    <s v="February"/>
  </r>
  <r>
    <d v="2025-07-02T00:00:00"/>
    <s v="Dr. Satbir Khumber"/>
    <s v="Dinesh Sharma"/>
    <n v="14"/>
    <x v="14"/>
    <s v="Pfizer India"/>
    <s v="OXY0325B"/>
    <d v="2027-05-01T00:00:00"/>
    <n v="420"/>
    <s v="February"/>
  </r>
  <r>
    <d v="2025-08-02T00:00:00"/>
    <s v="Dr. Satbir Khumber"/>
    <s v="Santosh Rani"/>
    <n v="8"/>
    <x v="15"/>
    <s v="Abbott India"/>
    <s v="ENR1224C"/>
    <d v="2026-06-01T00:00:00"/>
    <n v="320"/>
    <s v="February"/>
  </r>
  <r>
    <d v="2025-08-02T00:00:00"/>
    <s v="OTC"/>
    <s v="Mandeep Kumar"/>
    <n v="19"/>
    <x v="16"/>
    <s v="Sun Pharma"/>
    <s v="IVE0125A"/>
    <d v="2026-08-01T00:00:00"/>
    <n v="950"/>
    <s v="February"/>
  </r>
  <r>
    <d v="2025-08-02T00:00:00"/>
    <s v="OTC"/>
    <s v="Sanjay Riwar"/>
    <n v="8"/>
    <x v="0"/>
    <s v="Cipla"/>
    <s v="PAR0325/25"/>
    <d v="2027-04-01T00:00:00"/>
    <n v="16"/>
    <s v="February"/>
  </r>
  <r>
    <d v="2025-08-02T00:00:00"/>
    <s v="Dr. Ramphal Dhaka"/>
    <s v="Dinesh Sharma"/>
    <n v="10"/>
    <x v="1"/>
    <s v="Sun Pharma"/>
    <s v="IBU0225/25"/>
    <d v="2026-07-01T00:00:00"/>
    <n v="30"/>
    <s v="February"/>
  </r>
  <r>
    <d v="2025-08-02T00:00:00"/>
    <s v="OTC"/>
    <s v="Ramkla Devi"/>
    <n v="19"/>
    <x v="2"/>
    <s v="Dr. Reddyâ€™s"/>
    <s v="AMO1224B"/>
    <d v="2026-06-01T00:00:00"/>
    <n v="152"/>
    <s v="February"/>
  </r>
  <r>
    <d v="2025-08-02T00:00:00"/>
    <s v="OTC"/>
    <s v="Sahil Chundwal"/>
    <n v="23"/>
    <x v="3"/>
    <s v="Zydus Cadila"/>
    <s v="CET0225A"/>
    <d v="2027-12-01T00:00:00"/>
    <n v="69"/>
    <s v="February"/>
  </r>
  <r>
    <d v="2025-08-02T00:00:00"/>
    <s v="Dr. Sameer Tuteja"/>
    <s v="Pawan Khakhal"/>
    <n v="11"/>
    <x v="4"/>
    <s v="Lupin"/>
    <s v="MET0125C"/>
    <d v="2026-01-01T00:00:00"/>
    <n v="44"/>
    <s v="February"/>
  </r>
  <r>
    <d v="2025-08-02T00:00:00"/>
    <s v="Dr. Ramphal Dhaka"/>
    <s v="Dinesh Sharma"/>
    <n v="18"/>
    <x v="5"/>
    <s v="Torrent Pharma"/>
    <s v="AML1224X"/>
    <d v="2027-11-01T00:00:00"/>
    <n v="90"/>
    <s v="February"/>
  </r>
  <r>
    <d v="2025-09-02T00:00:00"/>
    <s v="Dr. Geeta Choudhary"/>
    <s v="Mandeep Kumar"/>
    <n v="4"/>
    <x v="6"/>
    <s v="Alkem Laboratories"/>
    <s v="ATE0225/25"/>
    <d v="2028-01-01T00:00:00"/>
    <n v="24"/>
    <s v="February"/>
  </r>
  <r>
    <d v="2025-09-02T00:00:00"/>
    <s v="Dr. Renu Bansal"/>
    <s v="Manisha Rani"/>
    <n v="11"/>
    <x v="7"/>
    <s v="Cipla"/>
    <s v="SAL0425A"/>
    <d v="2026-04-01T00:00:00"/>
    <n v="44"/>
    <s v="February"/>
  </r>
  <r>
    <d v="2025-09-02T00:00:00"/>
    <s v="OTC"/>
    <s v="Amit Dhaka"/>
    <n v="24"/>
    <x v="8"/>
    <s v="Sun Pharma"/>
    <s v="DOX0425B"/>
    <d v="2026-11-01T00:00:00"/>
    <n v="240"/>
    <s v="February"/>
  </r>
  <r>
    <d v="2025-09-02T00:00:00"/>
    <s v="Dr. HC Dahiya"/>
    <s v="Chander Bhan"/>
    <n v="2"/>
    <x v="9"/>
    <s v="Mankind Pharma"/>
    <s v="PAN0425B"/>
    <d v="2026-05-01T00:00:00"/>
    <n v="10"/>
    <s v="February"/>
  </r>
  <r>
    <d v="2025-09-02T00:00:00"/>
    <s v="OTC"/>
    <s v="Umesh Kumar"/>
    <n v="28"/>
    <x v="10"/>
    <s v="GSK India"/>
    <s v="CRO0225B"/>
    <d v="2026-09-01T00:00:00"/>
    <n v="56"/>
    <s v="February"/>
  </r>
  <r>
    <d v="2025-09-02T00:00:00"/>
    <s v="Dr. HC Dahiya"/>
    <s v="Sanjay Riwar"/>
    <n v="15"/>
    <x v="11"/>
    <s v="GSK India"/>
    <s v="ENO0325B"/>
    <d v="2026-05-01T00:00:00"/>
    <n v="150"/>
    <s v="February"/>
  </r>
  <r>
    <d v="2025-09-02T00:00:00"/>
    <s v="OTC"/>
    <s v="Naseeb Khakhal"/>
    <n v="26"/>
    <x v="12"/>
    <s v="Sanofi India"/>
    <s v="BET0325A"/>
    <d v="2026-08-01T00:00:00"/>
    <n v="3120"/>
    <s v="February"/>
  </r>
  <r>
    <d v="2025-09-02T00:00:00"/>
    <s v="OTC"/>
    <s v="Naseeb Khakhal"/>
    <n v="11"/>
    <x v="13"/>
    <s v="Mankind Pharma"/>
    <s v="ALB0425/25"/>
    <d v="2027-06-01T00:00:00"/>
    <n v="220"/>
    <s v="February"/>
  </r>
  <r>
    <d v="2025-10-02T00:00:00"/>
    <s v="Dr. HC Dahiya"/>
    <s v="Randhir Fageria"/>
    <n v="28"/>
    <x v="14"/>
    <s v="Pfizer India"/>
    <s v="OXY0125B"/>
    <d v="2027-05-01T00:00:00"/>
    <n v="840"/>
    <s v="February"/>
  </r>
  <r>
    <d v="2025-10-02T00:00:00"/>
    <s v="Dr. Vinay Singla"/>
    <s v="Baljinder Singh"/>
    <n v="10"/>
    <x v="15"/>
    <s v="Abbott India"/>
    <s v="ENR0125B"/>
    <d v="2026-07-01T00:00:00"/>
    <n v="400"/>
    <s v="February"/>
  </r>
  <r>
    <d v="2025-10-02T00:00:00"/>
    <s v="Dr. Vinay Singla"/>
    <s v="Ankit Bhadu"/>
    <n v="25"/>
    <x v="16"/>
    <s v="Sun Pharma"/>
    <s v="IVE0425X"/>
    <d v="2026-08-01T00:00:00"/>
    <n v="1250"/>
    <s v="February"/>
  </r>
  <r>
    <d v="2025-10-02T00:00:00"/>
    <s v="Dr. HC Dahiya"/>
    <s v="Pawan Khakhal"/>
    <n v="5"/>
    <x v="0"/>
    <s v="Cipla"/>
    <s v="PAR0125X"/>
    <d v="2027-02-01T00:00:00"/>
    <n v="10"/>
    <s v="February"/>
  </r>
  <r>
    <d v="2025-10-02T00:00:00"/>
    <s v="Dr. Geeta Choudhary"/>
    <s v="Sahil Chundwal"/>
    <n v="14"/>
    <x v="1"/>
    <s v="Sun Pharma"/>
    <s v="IBU1224B"/>
    <d v="2027-03-01T00:00:00"/>
    <n v="42"/>
    <s v="February"/>
  </r>
  <r>
    <d v="2025-10-02T00:00:00"/>
    <s v="OTC"/>
    <s v="Sanjay Riwar"/>
    <n v="25"/>
    <x v="2"/>
    <s v="Dr. Reddyâ€™s"/>
    <s v="AMO0425/25"/>
    <d v="2026-10-01T00:00:00"/>
    <n v="200"/>
    <s v="February"/>
  </r>
  <r>
    <d v="2025-10-02T00:00:00"/>
    <s v="Dr. Satbir Khumber"/>
    <s v="Raman Dhaka"/>
    <n v="23"/>
    <x v="3"/>
    <s v="Zydus Cadila"/>
    <s v="CET0225B"/>
    <d v="2027-01-01T00:00:00"/>
    <n v="69"/>
    <s v="February"/>
  </r>
  <r>
    <d v="2025-10-02T00:00:00"/>
    <s v="Dr. Manohar Pahuja"/>
    <s v="Sube Ram"/>
    <n v="26"/>
    <x v="4"/>
    <s v="Lupin"/>
    <s v="MET0325X"/>
    <d v="2027-12-01T00:00:00"/>
    <n v="104"/>
    <s v="February"/>
  </r>
  <r>
    <d v="2025-11-02T00:00:00"/>
    <s v="Dr. Ramphal Dhaka"/>
    <s v="Randhir Fageria"/>
    <n v="30"/>
    <x v="5"/>
    <s v="Torrent Pharma"/>
    <s v="AML0225/25"/>
    <d v="2027-07-01T00:00:00"/>
    <n v="150"/>
    <s v="February"/>
  </r>
  <r>
    <d v="2025-11-02T00:00:00"/>
    <s v="OTC"/>
    <s v="Santosh Rani"/>
    <n v="13"/>
    <x v="6"/>
    <s v="Alkem Laboratories"/>
    <s v="ATE0225B"/>
    <d v="2027-11-01T00:00:00"/>
    <n v="78"/>
    <s v="February"/>
  </r>
  <r>
    <d v="2025-11-02T00:00:00"/>
    <s v="Dr. Kamaljeet Sambhyl"/>
    <s v="Sahil Chundwal"/>
    <n v="21"/>
    <x v="7"/>
    <s v="Cipla"/>
    <s v="SAL0425B"/>
    <d v="2026-11-01T00:00:00"/>
    <n v="84"/>
    <s v="February"/>
  </r>
  <r>
    <d v="2025-11-02T00:00:00"/>
    <s v="Dr. Satbir Khumber"/>
    <s v="Radhe Shaym"/>
    <n v="22"/>
    <x v="8"/>
    <s v="Sun Pharma"/>
    <s v="DOX0125C"/>
    <d v="2026-06-01T00:00:00"/>
    <n v="220"/>
    <s v="February"/>
  </r>
  <r>
    <d v="2025-11-02T00:00:00"/>
    <s v="Dr. Virender Siwach"/>
    <s v="Dinesh Sharma"/>
    <n v="6"/>
    <x v="9"/>
    <s v="Mankind Pharma"/>
    <s v="PAN0425/25"/>
    <d v="2027-09-01T00:00:00"/>
    <n v="30"/>
    <s v="February"/>
  </r>
  <r>
    <d v="2025-11-02T00:00:00"/>
    <s v="OTC"/>
    <s v="Sanjay Riwar"/>
    <n v="5"/>
    <x v="10"/>
    <s v="GSK India"/>
    <s v="CRO0425A"/>
    <d v="2026-09-01T00:00:00"/>
    <n v="10"/>
    <s v="February"/>
  </r>
  <r>
    <d v="2025-11-02T00:00:00"/>
    <s v="Dr. Amit Narang"/>
    <s v="Sita Ram"/>
    <n v="29"/>
    <x v="11"/>
    <s v="GSK India"/>
    <s v="ENO0425/25"/>
    <d v="2027-07-01T00:00:00"/>
    <n v="290"/>
    <s v="February"/>
  </r>
  <r>
    <d v="2025-11-02T00:00:00"/>
    <s v="Dr. Manohar Pahuja"/>
    <s v="Yogesh Khicher"/>
    <n v="27"/>
    <x v="12"/>
    <s v="Sanofi India"/>
    <s v="BET1224C"/>
    <d v="2027-11-01T00:00:00"/>
    <n v="3240"/>
    <s v="February"/>
  </r>
  <r>
    <d v="2025-12-02T00:00:00"/>
    <s v="Dr. Geeta Choudhary"/>
    <s v="Sita Ram"/>
    <n v="13"/>
    <x v="13"/>
    <s v="Mankind Pharma"/>
    <s v="ALB0225/25"/>
    <d v="2027-12-01T00:00:00"/>
    <n v="260"/>
    <s v="February"/>
  </r>
  <r>
    <d v="2025-12-02T00:00:00"/>
    <s v="OTC"/>
    <s v="Naseeb Khakhal"/>
    <n v="7"/>
    <x v="14"/>
    <s v="Pfizer India"/>
    <s v="OXY0325C"/>
    <d v="2027-05-01T00:00:00"/>
    <n v="210"/>
    <s v="February"/>
  </r>
  <r>
    <d v="2025-12-02T00:00:00"/>
    <s v="Dr. Geeta Choudhary"/>
    <s v="Kuldeep Singh"/>
    <n v="12"/>
    <x v="15"/>
    <s v="Abbott India"/>
    <s v="ENR0225/25"/>
    <d v="2026-07-01T00:00:00"/>
    <n v="480"/>
    <s v="February"/>
  </r>
  <r>
    <d v="2025-12-02T00:00:00"/>
    <s v="Dr. Virender Siwach"/>
    <s v="Naseeb Khakhal"/>
    <n v="23"/>
    <x v="16"/>
    <s v="Sun Pharma"/>
    <s v="IVE0325C"/>
    <d v="2026-07-01T00:00:00"/>
    <n v="1150"/>
    <s v="February"/>
  </r>
  <r>
    <d v="2025-12-02T00:00:00"/>
    <s v="Dr. Virender Siwach"/>
    <s v="Shishpal Sharma"/>
    <n v="26"/>
    <x v="0"/>
    <s v="Cipla"/>
    <s v="PAR0425X"/>
    <d v="2026-04-01T00:00:00"/>
    <n v="52"/>
    <s v="February"/>
  </r>
  <r>
    <d v="2025-12-02T00:00:00"/>
    <s v="Dr. Sameer Tuteja"/>
    <s v="Chander Bhan"/>
    <n v="13"/>
    <x v="1"/>
    <s v="Sun Pharma"/>
    <s v="IBU1224B"/>
    <d v="2027-06-01T00:00:00"/>
    <n v="39"/>
    <s v="February"/>
  </r>
  <r>
    <d v="2025-12-02T00:00:00"/>
    <s v="OTC"/>
    <s v="Sahil Chundwal"/>
    <n v="10"/>
    <x v="2"/>
    <s v="Dr. Reddyâ€™s"/>
    <s v="AMO0325A"/>
    <d v="2027-12-01T00:00:00"/>
    <n v="80"/>
    <s v="February"/>
  </r>
  <r>
    <d v="2025-12-02T00:00:00"/>
    <s v="Dr. Geeta Choudhary"/>
    <s v="Chander Bhan"/>
    <n v="15"/>
    <x v="3"/>
    <s v="Zydus Cadila"/>
    <s v="CET0325C"/>
    <d v="2027-12-01T00:00:00"/>
    <n v="45"/>
    <s v="February"/>
  </r>
  <r>
    <s v="02-13-2025"/>
    <s v="Dr. Satbir Khumber"/>
    <s v="Sumit Kumar"/>
    <n v="11"/>
    <x v="4"/>
    <s v="Lupin"/>
    <s v="MET0125X"/>
    <d v="2026-04-01T00:00:00"/>
    <n v="44"/>
    <s v="February"/>
  </r>
  <r>
    <s v="02-13-2025"/>
    <s v="Dr. Ramphal Dhaka"/>
    <s v="Brijlalal Dhaka"/>
    <n v="13"/>
    <x v="5"/>
    <s v="Torrent Pharma"/>
    <s v="AML0425C"/>
    <d v="2026-08-01T00:00:00"/>
    <n v="65"/>
    <s v="February"/>
  </r>
  <r>
    <s v="02-13-2025"/>
    <s v="Dr. Renu Bansal"/>
    <s v="Sube Ram"/>
    <n v="1"/>
    <x v="6"/>
    <s v="Alkem Laboratories"/>
    <s v="ATE0425C"/>
    <d v="2026-08-01T00:00:00"/>
    <n v="6"/>
    <s v="February"/>
  </r>
  <r>
    <s v="02-13-2025"/>
    <s v="Dr. Vinay Singla"/>
    <s v="Ankit Bhadu"/>
    <n v="3"/>
    <x v="7"/>
    <s v="Cipla"/>
    <s v="SAL0225C"/>
    <d v="2026-12-01T00:00:00"/>
    <n v="12"/>
    <s v="February"/>
  </r>
  <r>
    <s v="02-13-2025"/>
    <s v="Dr. Sameer Tuteja"/>
    <s v="Shishpal Sharma"/>
    <n v="29"/>
    <x v="8"/>
    <s v="Sun Pharma"/>
    <s v="DOX1224C"/>
    <d v="2027-05-01T00:00:00"/>
    <n v="290"/>
    <s v="February"/>
  </r>
  <r>
    <s v="02-13-2025"/>
    <s v="OTC"/>
    <s v="Radhe Shaym"/>
    <n v="29"/>
    <x v="9"/>
    <s v="Mankind Pharma"/>
    <s v="PAN0325C"/>
    <d v="2026-05-01T00:00:00"/>
    <n v="145"/>
    <s v="February"/>
  </r>
  <r>
    <s v="02-13-2025"/>
    <s v="Dr. Anshul Sehgal"/>
    <s v="Amar Burdak"/>
    <n v="30"/>
    <x v="10"/>
    <s v="GSK India"/>
    <s v="CRO0425X"/>
    <d v="2026-11-01T00:00:00"/>
    <n v="60"/>
    <s v="February"/>
  </r>
  <r>
    <s v="02-13-2025"/>
    <s v="Dr. Vinay Singla"/>
    <s v="Sita Ram"/>
    <n v="26"/>
    <x v="11"/>
    <s v="GSK India"/>
    <s v="ENO0225X"/>
    <d v="2027-12-01T00:00:00"/>
    <n v="260"/>
    <s v="February"/>
  </r>
  <r>
    <s v="02-14-2025"/>
    <s v="Dr. Rajesh Batra"/>
    <s v="Ramkla Devi"/>
    <n v="8"/>
    <x v="12"/>
    <s v="Sanofi India"/>
    <s v="BET0225A"/>
    <d v="2028-01-01T00:00:00"/>
    <n v="960"/>
    <s v="February"/>
  </r>
  <r>
    <s v="02-14-2025"/>
    <s v="OTC"/>
    <s v="Sumit Kumar"/>
    <n v="24"/>
    <x v="13"/>
    <s v="Mankind Pharma"/>
    <s v="ALB0325X"/>
    <d v="2026-07-01T00:00:00"/>
    <n v="480"/>
    <s v="February"/>
  </r>
  <r>
    <s v="02-14-2025"/>
    <s v="OTC"/>
    <s v="Ramkla Devi"/>
    <n v="22"/>
    <x v="14"/>
    <s v="Pfizer India"/>
    <s v="OXY0125B"/>
    <d v="2027-06-01T00:00:00"/>
    <n v="660"/>
    <s v="February"/>
  </r>
  <r>
    <s v="02-14-2025"/>
    <s v="Dr. Kamaljeet Sambhyl"/>
    <s v="Manisha Rani"/>
    <n v="28"/>
    <x v="15"/>
    <s v="Abbott India"/>
    <s v="ENR0125/25"/>
    <d v="2027-01-01T00:00:00"/>
    <n v="1120"/>
    <s v="February"/>
  </r>
  <r>
    <s v="02-14-2025"/>
    <s v="Dr. Ramphal Dhaka"/>
    <s v="Sita Ram"/>
    <n v="21"/>
    <x v="16"/>
    <s v="Sun Pharma"/>
    <s v="IVE0325A"/>
    <d v="2026-11-01T00:00:00"/>
    <n v="1050"/>
    <s v="February"/>
  </r>
  <r>
    <s v="02-14-2025"/>
    <s v="Dr. Virender Siwach"/>
    <s v="Balbir Fageria"/>
    <n v="23"/>
    <x v="0"/>
    <s v="Cipla"/>
    <s v="PAR0225/25"/>
    <d v="2026-07-01T00:00:00"/>
    <n v="46"/>
    <s v="February"/>
  </r>
  <r>
    <s v="02-14-2025"/>
    <s v="OTC"/>
    <s v="Manisha Rani"/>
    <n v="15"/>
    <x v="1"/>
    <s v="Sun Pharma"/>
    <s v="IBU0125/25"/>
    <d v="2026-08-01T00:00:00"/>
    <n v="45"/>
    <s v="February"/>
  </r>
  <r>
    <s v="02-14-2025"/>
    <s v="OTC"/>
    <s v="Naseeb Khakhal"/>
    <n v="28"/>
    <x v="2"/>
    <s v="Dr. Reddyâ€™s"/>
    <s v="AMO0325/25"/>
    <d v="2028-01-01T00:00:00"/>
    <n v="224"/>
    <s v="February"/>
  </r>
  <r>
    <s v="02-15-2025"/>
    <s v="Dr. Virender Siwach"/>
    <s v="Sumitra Devi"/>
    <n v="2"/>
    <x v="3"/>
    <s v="Zydus Cadila"/>
    <s v="CET0425B"/>
    <d v="2027-09-01T00:00:00"/>
    <n v="6"/>
    <s v="February"/>
  </r>
  <r>
    <s v="02-15-2025"/>
    <s v="Dr. Kamaljeet Sambhyl"/>
    <s v="Raman Dhaka"/>
    <n v="9"/>
    <x v="4"/>
    <s v="Lupin"/>
    <s v="MET0125A"/>
    <d v="2027-08-01T00:00:00"/>
    <n v="36"/>
    <s v="February"/>
  </r>
  <r>
    <s v="02-15-2025"/>
    <s v="OTC"/>
    <s v="Dinesh Sharma"/>
    <n v="25"/>
    <x v="5"/>
    <s v="Torrent Pharma"/>
    <s v="AML0325A"/>
    <d v="2026-04-01T00:00:00"/>
    <n v="125"/>
    <s v="February"/>
  </r>
  <r>
    <s v="02-15-2025"/>
    <s v="Dr. Manohar Pahuja"/>
    <s v="Manisha Rani"/>
    <n v="29"/>
    <x v="6"/>
    <s v="Alkem Laboratories"/>
    <s v="ATE0225A"/>
    <d v="2027-11-01T00:00:00"/>
    <n v="174"/>
    <s v="February"/>
  </r>
  <r>
    <s v="02-15-2025"/>
    <s v="OTC"/>
    <s v="Mohit Chaberwal"/>
    <n v="7"/>
    <x v="7"/>
    <s v="Cipla"/>
    <s v="SAL1224X"/>
    <d v="2026-03-01T00:00:00"/>
    <n v="28"/>
    <s v="February"/>
  </r>
  <r>
    <s v="02-15-2025"/>
    <s v="OTC"/>
    <s v="Dinesh Sharma"/>
    <n v="19"/>
    <x v="8"/>
    <s v="Sun Pharma"/>
    <s v="DOX0225C"/>
    <d v="2026-10-01T00:00:00"/>
    <n v="190"/>
    <s v="February"/>
  </r>
  <r>
    <s v="02-15-2025"/>
    <s v="Dr. Kamaljeet Sambhyl"/>
    <s v="Krishan Singh"/>
    <n v="23"/>
    <x v="9"/>
    <s v="Mankind Pharma"/>
    <s v="PAN0425C"/>
    <d v="2027-05-01T00:00:00"/>
    <n v="115"/>
    <s v="February"/>
  </r>
  <r>
    <s v="02-15-2025"/>
    <s v="Dr. Virender Siwach"/>
    <s v="Baljinder Singh"/>
    <n v="21"/>
    <x v="10"/>
    <s v="GSK India"/>
    <s v="CRO0425/25"/>
    <d v="2027-12-01T00:00:00"/>
    <n v="42"/>
    <s v="February"/>
  </r>
  <r>
    <s v="02-16-2025"/>
    <s v="Dr. HC Dahiya"/>
    <s v="Krishan Singh"/>
    <n v="29"/>
    <x v="11"/>
    <s v="GSK India"/>
    <s v="ENO0325/25"/>
    <d v="2026-09-01T00:00:00"/>
    <n v="290"/>
    <s v="February"/>
  </r>
  <r>
    <s v="02-16-2025"/>
    <s v="Dr. Anshul Sehgal"/>
    <s v="Dinesh Sharma"/>
    <n v="23"/>
    <x v="12"/>
    <s v="Sanofi India"/>
    <s v="BET0425B"/>
    <d v="2026-07-01T00:00:00"/>
    <n v="2760"/>
    <s v="February"/>
  </r>
  <r>
    <s v="02-16-2025"/>
    <s v="Dr. Rajesh Batra"/>
    <s v="Manisha Rani"/>
    <n v="1"/>
    <x v="13"/>
    <s v="Mankind Pharma"/>
    <s v="ALB0225B"/>
    <d v="2027-06-01T00:00:00"/>
    <n v="20"/>
    <s v="February"/>
  </r>
  <r>
    <s v="02-16-2025"/>
    <s v="Dr. Ramphal Dhaka"/>
    <s v="Amit Dhaka"/>
    <n v="14"/>
    <x v="14"/>
    <s v="Pfizer India"/>
    <s v="OXY0325C"/>
    <d v="2026-12-01T00:00:00"/>
    <n v="420"/>
    <s v="February"/>
  </r>
  <r>
    <s v="02-16-2025"/>
    <s v="Dr. Kamaljeet Sambhyl"/>
    <s v="Ravi Dhaka"/>
    <n v="3"/>
    <x v="15"/>
    <s v="Abbott India"/>
    <s v="ENR0225A"/>
    <d v="2026-02-01T00:00:00"/>
    <n v="120"/>
    <s v="February"/>
  </r>
  <r>
    <s v="02-16-2025"/>
    <s v="Dr. Anshul Sehgal"/>
    <s v="Mandeep Kumar"/>
    <n v="27"/>
    <x v="16"/>
    <s v="Sun Pharma"/>
    <s v="IVE0425X"/>
    <d v="2026-08-01T00:00:00"/>
    <n v="1350"/>
    <s v="February"/>
  </r>
  <r>
    <s v="02-16-2025"/>
    <s v="OTC"/>
    <s v="Hari Singh"/>
    <n v="23"/>
    <x v="0"/>
    <s v="Cipla"/>
    <s v="PAR0425X"/>
    <d v="2027-03-01T00:00:00"/>
    <n v="46"/>
    <s v="February"/>
  </r>
  <r>
    <s v="02-16-2025"/>
    <s v="Dr. Rajesh Batra"/>
    <s v="Ram Kumar"/>
    <n v="30"/>
    <x v="1"/>
    <s v="Sun Pharma"/>
    <s v="IBU0225B"/>
    <d v="2027-11-01T00:00:00"/>
    <n v="90"/>
    <s v="February"/>
  </r>
  <r>
    <s v="02-17-2025"/>
    <s v="Dr. Virender Siwach"/>
    <s v="Amar Burdak"/>
    <n v="23"/>
    <x v="2"/>
    <s v="Dr. Reddyâ€™s"/>
    <s v="AMO0225X"/>
    <d v="2026-09-01T00:00:00"/>
    <n v="184"/>
    <s v="February"/>
  </r>
  <r>
    <s v="02-17-2025"/>
    <s v="Dr. Satbir Khumber"/>
    <s v="Randhir Fageria"/>
    <n v="19"/>
    <x v="3"/>
    <s v="Zydus Cadila"/>
    <s v="CET0225C"/>
    <d v="2026-09-01T00:00:00"/>
    <n v="57"/>
    <s v="February"/>
  </r>
  <r>
    <s v="02-17-2025"/>
    <s v="OTC"/>
    <s v="Ramkla Devi"/>
    <n v="23"/>
    <x v="4"/>
    <s v="Lupin"/>
    <s v="MET0225X"/>
    <d v="2027-04-01T00:00:00"/>
    <n v="92"/>
    <s v="February"/>
  </r>
  <r>
    <s v="02-17-2025"/>
    <s v="Dr. Vinay Singla"/>
    <s v="Ram Kumar"/>
    <n v="8"/>
    <x v="5"/>
    <s v="Torrent Pharma"/>
    <s v="AML0225B"/>
    <d v="2027-11-01T00:00:00"/>
    <n v="40"/>
    <s v="February"/>
  </r>
  <r>
    <s v="02-17-2025"/>
    <s v="OTC"/>
    <s v="Sumitra Devi"/>
    <n v="22"/>
    <x v="6"/>
    <s v="Alkem Laboratories"/>
    <s v="ATE1224X"/>
    <d v="2026-12-01T00:00:00"/>
    <n v="132"/>
    <s v="February"/>
  </r>
  <r>
    <s v="02-17-2025"/>
    <s v="OTC"/>
    <s v="Tamanna Dhaka"/>
    <n v="19"/>
    <x v="7"/>
    <s v="Cipla"/>
    <s v="SAL0325B"/>
    <d v="2026-12-01T00:00:00"/>
    <n v="76"/>
    <s v="February"/>
  </r>
  <r>
    <s v="02-17-2025"/>
    <s v="Dr. HC Dahiya"/>
    <s v="Raman Dhaka"/>
    <n v="15"/>
    <x v="8"/>
    <s v="Sun Pharma"/>
    <s v="DOX0325B"/>
    <d v="2026-06-01T00:00:00"/>
    <n v="150"/>
    <s v="February"/>
  </r>
  <r>
    <s v="02-17-2025"/>
    <s v="Dr. Satbir Khumber"/>
    <s v="Radhe Shaym"/>
    <n v="19"/>
    <x v="9"/>
    <s v="Mankind Pharma"/>
    <s v="PAN0225A"/>
    <d v="2027-02-01T00:00:00"/>
    <n v="95"/>
    <s v="February"/>
  </r>
  <r>
    <s v="02-18-2025"/>
    <s v="Dr. Kamaljeet Sambhyl"/>
    <s v="Shyam Sunder"/>
    <n v="24"/>
    <x v="10"/>
    <s v="GSK India"/>
    <s v="CRO1224/25"/>
    <d v="2026-08-01T00:00:00"/>
    <n v="48"/>
    <s v="February"/>
  </r>
  <r>
    <s v="02-18-2025"/>
    <s v="OTC"/>
    <s v="Umesh Kumar"/>
    <n v="15"/>
    <x v="11"/>
    <s v="GSK India"/>
    <s v="ENO0425B"/>
    <d v="2028-02-01T00:00:00"/>
    <n v="150"/>
    <s v="February"/>
  </r>
  <r>
    <s v="02-18-2025"/>
    <s v="Dr. Vinay Singla"/>
    <s v="Randhir Fageria"/>
    <n v="2"/>
    <x v="12"/>
    <s v="Sanofi India"/>
    <s v="BET0425C"/>
    <d v="2026-07-01T00:00:00"/>
    <n v="240"/>
    <s v="February"/>
  </r>
  <r>
    <s v="02-18-2025"/>
    <s v="Dr. Ramphal Dhaka"/>
    <s v="Yogesh Khicher"/>
    <n v="1"/>
    <x v="13"/>
    <s v="Mankind Pharma"/>
    <s v="ALB0425B"/>
    <d v="2027-04-01T00:00:00"/>
    <n v="20"/>
    <s v="February"/>
  </r>
  <r>
    <s v="02-18-2025"/>
    <s v="Dr. Geeta Choudhary"/>
    <s v="Sumit Kumar"/>
    <n v="5"/>
    <x v="14"/>
    <s v="Pfizer India"/>
    <s v="OXY0225B"/>
    <d v="2026-07-01T00:00:00"/>
    <n v="150"/>
    <s v="February"/>
  </r>
  <r>
    <s v="02-18-2025"/>
    <s v="OTC"/>
    <s v="Tamanna Dhaka"/>
    <n v="28"/>
    <x v="15"/>
    <s v="Abbott India"/>
    <s v="ENR0425X"/>
    <d v="2026-09-01T00:00:00"/>
    <n v="1120"/>
    <s v="February"/>
  </r>
  <r>
    <s v="02-18-2025"/>
    <s v="Dr. Ramphal Dhaka"/>
    <s v="Krishan Singh"/>
    <n v="16"/>
    <x v="16"/>
    <s v="Sun Pharma"/>
    <s v="IVE0325B"/>
    <d v="2026-08-01T00:00:00"/>
    <n v="800"/>
    <s v="February"/>
  </r>
  <r>
    <s v="02-18-2025"/>
    <s v="Dr. Amit Narang"/>
    <s v="Radhe Shaym"/>
    <n v="5"/>
    <x v="0"/>
    <s v="Cipla"/>
    <s v="PAR0225B"/>
    <d v="2028-01-01T00:00:00"/>
    <n v="10"/>
    <s v="February"/>
  </r>
  <r>
    <s v="02-19-2025"/>
    <s v="Dr. Vinay Singla"/>
    <s v="Kuldeep Singh"/>
    <n v="18"/>
    <x v="1"/>
    <s v="Sun Pharma"/>
    <s v="IBU1224C"/>
    <d v="2026-07-01T00:00:00"/>
    <n v="54"/>
    <s v="February"/>
  </r>
  <r>
    <s v="02-19-2025"/>
    <s v="Dr. Virender Siwach"/>
    <s v="Amar Burdak"/>
    <n v="8"/>
    <x v="2"/>
    <s v="Dr. Reddyâ€™s"/>
    <s v="AMO1224X"/>
    <d v="2026-01-01T00:00:00"/>
    <n v="64"/>
    <s v="February"/>
  </r>
  <r>
    <s v="02-19-2025"/>
    <s v="Dr. Vinay Singla"/>
    <s v="Baljinder Singh"/>
    <n v="18"/>
    <x v="3"/>
    <s v="Zydus Cadila"/>
    <s v="CET0325X"/>
    <d v="2026-08-01T00:00:00"/>
    <n v="54"/>
    <s v="February"/>
  </r>
  <r>
    <s v="02-19-2025"/>
    <s v="Dr. Virender Siwach"/>
    <s v="Sumitra Devi"/>
    <n v="14"/>
    <x v="4"/>
    <s v="Lupin"/>
    <s v="MET1224/25"/>
    <d v="2026-02-01T00:00:00"/>
    <n v="56"/>
    <s v="February"/>
  </r>
  <r>
    <s v="02-19-2025"/>
    <s v="Dr. HC Dahiya"/>
    <s v="Sumit Kumar"/>
    <n v="9"/>
    <x v="5"/>
    <s v="Torrent Pharma"/>
    <s v="AML0325B"/>
    <d v="2026-07-01T00:00:00"/>
    <n v="45"/>
    <s v="February"/>
  </r>
  <r>
    <s v="02-19-2025"/>
    <s v="Dr. Renu Bansal"/>
    <s v="Santosh Rani"/>
    <n v="27"/>
    <x v="6"/>
    <s v="Alkem Laboratories"/>
    <s v="ATE1224A"/>
    <d v="2027-02-01T00:00:00"/>
    <n v="162"/>
    <s v="February"/>
  </r>
  <r>
    <s v="02-19-2025"/>
    <s v="Dr. Renu Bansal"/>
    <s v="Shyam Sunder"/>
    <n v="28"/>
    <x v="7"/>
    <s v="Cipla"/>
    <s v="SAL0425/25"/>
    <d v="2028-01-01T00:00:00"/>
    <n v="112"/>
    <s v="February"/>
  </r>
  <r>
    <s v="02-19-2025"/>
    <s v="Dr. Ramphal Dhaka"/>
    <s v="Balbir Fageria"/>
    <n v="22"/>
    <x v="8"/>
    <s v="Sun Pharma"/>
    <s v="DOX0325X"/>
    <d v="2026-05-01T00:00:00"/>
    <n v="220"/>
    <s v="February"/>
  </r>
  <r>
    <s v="02-20-2025"/>
    <s v="Dr. HC Dahiya"/>
    <s v="Randhir Fageria"/>
    <n v="19"/>
    <x v="9"/>
    <s v="Mankind Pharma"/>
    <s v="PAN0425A"/>
    <d v="2027-07-01T00:00:00"/>
    <n v="95"/>
    <s v="February"/>
  </r>
  <r>
    <s v="02-20-2025"/>
    <s v="OTC"/>
    <s v="Sahil Chundwal"/>
    <n v="6"/>
    <x v="10"/>
    <s v="GSK India"/>
    <s v="CRO0425X"/>
    <d v="2026-10-01T00:00:00"/>
    <n v="12"/>
    <s v="February"/>
  </r>
  <r>
    <s v="02-20-2025"/>
    <s v="OTC"/>
    <s v="Sahil Chundwal"/>
    <n v="11"/>
    <x v="11"/>
    <s v="GSK India"/>
    <s v="ENO1224X"/>
    <d v="2026-10-01T00:00:00"/>
    <n v="110"/>
    <s v="February"/>
  </r>
  <r>
    <s v="02-20-2025"/>
    <s v="Dr. Vinay Singla"/>
    <s v="Radhe Shaym"/>
    <n v="4"/>
    <x v="12"/>
    <s v="Sanofi India"/>
    <s v="BET1224/25"/>
    <d v="2027-10-01T00:00:00"/>
    <n v="480"/>
    <s v="February"/>
  </r>
  <r>
    <s v="02-20-2025"/>
    <s v="OTC"/>
    <s v="Brijlalal Dhaka"/>
    <n v="6"/>
    <x v="13"/>
    <s v="Mankind Pharma"/>
    <s v="ALB0125/25"/>
    <d v="2026-10-01T00:00:00"/>
    <n v="120"/>
    <s v="February"/>
  </r>
  <r>
    <s v="02-20-2025"/>
    <s v="Dr. Vinay Singla"/>
    <s v="Mandeep Kumar"/>
    <n v="18"/>
    <x v="14"/>
    <s v="Pfizer India"/>
    <s v="OXY1224A"/>
    <d v="2026-04-01T00:00:00"/>
    <n v="540"/>
    <s v="February"/>
  </r>
  <r>
    <s v="02-20-2025"/>
    <s v="Dr. HC Dahiya"/>
    <s v="Raman Dhaka"/>
    <n v="26"/>
    <x v="15"/>
    <s v="Abbott India"/>
    <s v="ENR0125X"/>
    <d v="2026-08-01T00:00:00"/>
    <n v="1040"/>
    <s v="February"/>
  </r>
  <r>
    <s v="02-20-2025"/>
    <s v="Dr. Geeta Choudhary"/>
    <s v="Sanjay Riwar"/>
    <n v="6"/>
    <x v="16"/>
    <s v="Sun Pharma"/>
    <s v="IVE0125/25"/>
    <d v="2026-10-01T00:00:00"/>
    <n v="300"/>
    <s v="February"/>
  </r>
  <r>
    <s v="02-21-2025"/>
    <s v="Dr. Kamaljeet Sambhyl"/>
    <s v="Santosh Rani"/>
    <n v="5"/>
    <x v="0"/>
    <s v="Cipla"/>
    <s v="PAR0225/25"/>
    <d v="2027-05-01T00:00:00"/>
    <n v="10"/>
    <s v="February"/>
  </r>
  <r>
    <s v="02-21-2025"/>
    <s v="Dr. Virender Siwach"/>
    <s v="Umesh Kumar"/>
    <n v="18"/>
    <x v="1"/>
    <s v="Sun Pharma"/>
    <s v="IBU0225A"/>
    <d v="2026-11-01T00:00:00"/>
    <n v="54"/>
    <s v="February"/>
  </r>
  <r>
    <s v="02-21-2025"/>
    <s v="Dr. HC Dahiya"/>
    <s v="Sube Ram"/>
    <n v="16"/>
    <x v="2"/>
    <s v="Dr. Reddyâ€™s"/>
    <s v="AMO1224B"/>
    <d v="2026-12-01T00:00:00"/>
    <n v="128"/>
    <s v="February"/>
  </r>
  <r>
    <s v="02-21-2025"/>
    <s v="Dr. Kamaljeet Sambhyl"/>
    <s v="Chander Bhan"/>
    <n v="9"/>
    <x v="3"/>
    <s v="Zydus Cadila"/>
    <s v="CET0425X"/>
    <d v="2028-02-01T00:00:00"/>
    <n v="27"/>
    <s v="February"/>
  </r>
  <r>
    <s v="02-21-2025"/>
    <s v="OTC"/>
    <s v="Umesh Kumar"/>
    <n v="13"/>
    <x v="4"/>
    <s v="Lupin"/>
    <s v="MET0125A"/>
    <d v="2027-05-01T00:00:00"/>
    <n v="52"/>
    <s v="February"/>
  </r>
  <r>
    <s v="02-21-2025"/>
    <s v="Dr. Renu Bansal"/>
    <s v="Shishpal Sharma"/>
    <n v="9"/>
    <x v="5"/>
    <s v="Torrent Pharma"/>
    <s v="AML0125C"/>
    <d v="2027-12-01T00:00:00"/>
    <n v="45"/>
    <s v="February"/>
  </r>
  <r>
    <s v="02-21-2025"/>
    <s v="Dr. Ramphal Dhaka"/>
    <s v="Ravi Dhaka"/>
    <n v="11"/>
    <x v="6"/>
    <s v="Alkem Laboratories"/>
    <s v="ATE1224A"/>
    <d v="2027-07-01T00:00:00"/>
    <n v="66"/>
    <s v="February"/>
  </r>
  <r>
    <s v="02-21-2025"/>
    <s v="Dr. Anshul Sehgal"/>
    <s v="Shyam Sunder"/>
    <n v="13"/>
    <x v="7"/>
    <s v="Cipla"/>
    <s v="SAL0125X"/>
    <d v="2027-12-01T00:00:00"/>
    <n v="52"/>
    <s v="February"/>
  </r>
  <r>
    <s v="02-22-2025"/>
    <s v="Dr. Virender Siwach"/>
    <s v="Amar Burdak"/>
    <n v="21"/>
    <x v="8"/>
    <s v="Sun Pharma"/>
    <s v="DOX1224C"/>
    <d v="2026-09-01T00:00:00"/>
    <n v="210"/>
    <s v="February"/>
  </r>
  <r>
    <s v="02-22-2025"/>
    <s v="Dr. Sameer Tuteja"/>
    <s v="Shishpal Sharma"/>
    <n v="20"/>
    <x v="9"/>
    <s v="Mankind Pharma"/>
    <s v="PAN0325/25"/>
    <d v="2026-10-01T00:00:00"/>
    <n v="100"/>
    <s v="February"/>
  </r>
  <r>
    <s v="02-22-2025"/>
    <s v="OTC"/>
    <s v="Ankit Bhadu"/>
    <n v="19"/>
    <x v="10"/>
    <s v="GSK India"/>
    <s v="CRO0425B"/>
    <d v="2026-06-01T00:00:00"/>
    <n v="38"/>
    <s v="February"/>
  </r>
  <r>
    <s v="02-22-2025"/>
    <s v="Dr. Ramphal Dhaka"/>
    <s v="Chander Bhan"/>
    <n v="29"/>
    <x v="11"/>
    <s v="GSK India"/>
    <s v="ENO1224B"/>
    <d v="2027-02-01T00:00:00"/>
    <n v="290"/>
    <s v="February"/>
  </r>
  <r>
    <s v="02-22-2025"/>
    <s v="OTC"/>
    <s v="Shyam Sunder"/>
    <n v="2"/>
    <x v="12"/>
    <s v="Sanofi India"/>
    <s v="BET1224B"/>
    <d v="2026-03-01T00:00:00"/>
    <n v="240"/>
    <s v="February"/>
  </r>
  <r>
    <s v="02-22-2025"/>
    <s v="Dr. HC Dahiya"/>
    <s v="Umesh Kumar"/>
    <n v="20"/>
    <x v="13"/>
    <s v="Mankind Pharma"/>
    <s v="ALB0425/25"/>
    <d v="2028-01-01T00:00:00"/>
    <n v="400"/>
    <s v="February"/>
  </r>
  <r>
    <s v="02-22-2025"/>
    <s v="Dr. HC Dahiya"/>
    <s v="Kuldeep Singh"/>
    <n v="19"/>
    <x v="14"/>
    <s v="Pfizer India"/>
    <s v="OXY0225/25"/>
    <d v="2027-10-01T00:00:00"/>
    <n v="570"/>
    <s v="February"/>
  </r>
  <r>
    <s v="02-22-2025"/>
    <s v="Dr. Virender Siwach"/>
    <s v="Manisha Rani"/>
    <n v="18"/>
    <x v="15"/>
    <s v="Abbott India"/>
    <s v="ENR0425X"/>
    <d v="2027-02-01T00:00:00"/>
    <n v="720"/>
    <s v="February"/>
  </r>
  <r>
    <s v="02-23-2025"/>
    <s v="Dr. Sameer Tuteja"/>
    <s v="Ravi Dhaka"/>
    <n v="22"/>
    <x v="16"/>
    <s v="Sun Pharma"/>
    <s v="IVE1224A"/>
    <d v="2026-05-01T00:00:00"/>
    <n v="1100"/>
    <s v="February"/>
  </r>
  <r>
    <s v="02-23-2025"/>
    <s v="Dr. Ramphal Dhaka"/>
    <s v="Mandeep Kumar"/>
    <n v="22"/>
    <x v="0"/>
    <s v="Cipla"/>
    <s v="PAR0425X"/>
    <d v="2027-03-01T00:00:00"/>
    <n v="44"/>
    <s v="February"/>
  </r>
  <r>
    <s v="02-23-2025"/>
    <s v="Dr. Amit Narang"/>
    <s v="Sahil Chundwal"/>
    <n v="29"/>
    <x v="1"/>
    <s v="Sun Pharma"/>
    <s v="IBU0325C"/>
    <d v="2026-12-01T00:00:00"/>
    <n v="87"/>
    <s v="February"/>
  </r>
  <r>
    <s v="02-23-2025"/>
    <s v="Dr. Kamaljeet Sambhyl"/>
    <s v="Dinesh Sharma"/>
    <n v="24"/>
    <x v="2"/>
    <s v="Dr. Reddyâ€™s"/>
    <s v="AMO0125X"/>
    <d v="2027-10-01T00:00:00"/>
    <n v="192"/>
    <s v="February"/>
  </r>
  <r>
    <s v="02-23-2025"/>
    <s v="Dr. Renu Bansal"/>
    <s v="Amar Burdak"/>
    <n v="13"/>
    <x v="3"/>
    <s v="Zydus Cadila"/>
    <s v="CET0225/25"/>
    <d v="2026-06-01T00:00:00"/>
    <n v="39"/>
    <s v="February"/>
  </r>
  <r>
    <s v="02-23-2025"/>
    <s v="OTC"/>
    <s v="Krishan Singh"/>
    <n v="25"/>
    <x v="4"/>
    <s v="Lupin"/>
    <s v="MET0425C"/>
    <d v="2026-04-01T00:00:00"/>
    <n v="100"/>
    <s v="February"/>
  </r>
  <r>
    <s v="02-23-2025"/>
    <s v="OTC"/>
    <s v="Amar Burdak"/>
    <n v="8"/>
    <x v="5"/>
    <s v="Torrent Pharma"/>
    <s v="AML0425C"/>
    <d v="2027-12-01T00:00:00"/>
    <n v="40"/>
    <s v="February"/>
  </r>
  <r>
    <s v="02-23-2025"/>
    <s v="OTC"/>
    <s v="Sumit Kumar"/>
    <n v="22"/>
    <x v="6"/>
    <s v="Alkem Laboratories"/>
    <s v="ATE0225A"/>
    <d v="2026-12-01T00:00:00"/>
    <n v="132"/>
    <s v="February"/>
  </r>
  <r>
    <s v="02-24-2025"/>
    <s v="Dr. Vinay Singla"/>
    <s v="Shyam Sunder"/>
    <n v="20"/>
    <x v="7"/>
    <s v="Cipla"/>
    <s v="SAL1224C"/>
    <d v="2026-10-01T00:00:00"/>
    <n v="80"/>
    <s v="February"/>
  </r>
  <r>
    <s v="02-24-2025"/>
    <s v="Dr. Sameer Tuteja"/>
    <s v="Manisha Rani"/>
    <n v="30"/>
    <x v="8"/>
    <s v="Sun Pharma"/>
    <s v="DOX0125B"/>
    <d v="2026-11-01T00:00:00"/>
    <n v="300"/>
    <s v="February"/>
  </r>
  <r>
    <s v="02-24-2025"/>
    <s v="OTC"/>
    <s v="Shishpal Sharma"/>
    <n v="15"/>
    <x v="9"/>
    <s v="Mankind Pharma"/>
    <s v="PAN0125/25"/>
    <d v="2026-11-01T00:00:00"/>
    <n v="75"/>
    <s v="February"/>
  </r>
  <r>
    <s v="02-24-2025"/>
    <s v="Dr. Satbir Khumber"/>
    <s v="Baljinder Singh"/>
    <n v="11"/>
    <x v="10"/>
    <s v="GSK India"/>
    <s v="CRO0325A"/>
    <d v="2027-12-01T00:00:00"/>
    <n v="22"/>
    <s v="February"/>
  </r>
  <r>
    <s v="02-24-2025"/>
    <s v="OTC"/>
    <s v="Baljinder Singh"/>
    <n v="2"/>
    <x v="11"/>
    <s v="GSK India"/>
    <s v="ENO0125A"/>
    <d v="2027-10-01T00:00:00"/>
    <n v="20"/>
    <s v="February"/>
  </r>
  <r>
    <s v="02-24-2025"/>
    <s v="Dr. Geeta Choudhary"/>
    <s v="Amar Burdak"/>
    <n v="20"/>
    <x v="12"/>
    <s v="Sanofi India"/>
    <s v="BET0225/25"/>
    <d v="2027-01-01T00:00:00"/>
    <n v="2400"/>
    <s v="February"/>
  </r>
  <r>
    <s v="02-24-2025"/>
    <s v="Dr. Renu Bansal"/>
    <s v="Balbir Fageria"/>
    <n v="23"/>
    <x v="13"/>
    <s v="Mankind Pharma"/>
    <s v="ALB1224/25"/>
    <d v="2027-11-01T00:00:00"/>
    <n v="460"/>
    <s v="February"/>
  </r>
  <r>
    <s v="02-24-2025"/>
    <s v="Dr. Renu Bansal"/>
    <s v="Mandeep Kumar"/>
    <n v="3"/>
    <x v="14"/>
    <s v="Pfizer India"/>
    <s v="OXY0125/25"/>
    <d v="2027-10-01T00:00:00"/>
    <n v="90"/>
    <s v="February"/>
  </r>
  <r>
    <s v="02-25-2025"/>
    <s v="Dr. Virender Siwach"/>
    <s v="Sumitra Devi"/>
    <n v="30"/>
    <x v="15"/>
    <s v="Abbott India"/>
    <s v="ENR0425X"/>
    <d v="2028-02-01T00:00:00"/>
    <n v="1200"/>
    <s v="February"/>
  </r>
  <r>
    <s v="02-25-2025"/>
    <s v="Dr. Sameer Tuteja"/>
    <s v="Ravi Dhaka"/>
    <n v="21"/>
    <x v="16"/>
    <s v="Sun Pharma"/>
    <s v="IVE0225B"/>
    <d v="2027-10-01T00:00:00"/>
    <n v="1050"/>
    <s v="February"/>
  </r>
  <r>
    <s v="02-25-2025"/>
    <s v="OTC"/>
    <s v="Sumitra Devi"/>
    <n v="3"/>
    <x v="0"/>
    <s v="Cipla"/>
    <s v="PAR1224/25"/>
    <d v="2026-11-01T00:00:00"/>
    <n v="6"/>
    <s v="February"/>
  </r>
  <r>
    <s v="02-25-2025"/>
    <s v="Dr. Ramphal Dhaka"/>
    <s v="Naseeb Khakhal"/>
    <n v="4"/>
    <x v="1"/>
    <s v="Sun Pharma"/>
    <s v="IBU1224/25"/>
    <d v="2026-03-01T00:00:00"/>
    <n v="12"/>
    <s v="February"/>
  </r>
  <r>
    <s v="02-25-2025"/>
    <s v="OTC"/>
    <s v="Sita Ram"/>
    <n v="2"/>
    <x v="2"/>
    <s v="Dr. Reddyâ€™s"/>
    <s v="AMO0325C"/>
    <d v="2026-03-01T00:00:00"/>
    <n v="16"/>
    <s v="February"/>
  </r>
  <r>
    <s v="02-25-2025"/>
    <s v="Dr. Amit Narang"/>
    <s v="Naseeb Khakhal"/>
    <n v="5"/>
    <x v="3"/>
    <s v="Zydus Cadila"/>
    <s v="CET0125A"/>
    <d v="2026-01-01T00:00:00"/>
    <n v="15"/>
    <s v="February"/>
  </r>
  <r>
    <s v="02-25-2025"/>
    <s v="Dr. Ramphal Dhaka"/>
    <s v="Pawan Khakhal"/>
    <n v="14"/>
    <x v="4"/>
    <s v="Lupin"/>
    <s v="MET0125B"/>
    <d v="2027-12-01T00:00:00"/>
    <n v="56"/>
    <s v="February"/>
  </r>
  <r>
    <s v="02-25-2025"/>
    <s v="Dr. Renu Bansal"/>
    <s v="Yogesh Khicher"/>
    <n v="20"/>
    <x v="5"/>
    <s v="Torrent Pharma"/>
    <s v="AML0125/25"/>
    <d v="2026-07-01T00:00:00"/>
    <n v="100"/>
    <s v="February"/>
  </r>
  <r>
    <s v="02-26-2025"/>
    <s v="Dr. Anshul Sehgal"/>
    <s v="Chander Bhan"/>
    <n v="21"/>
    <x v="6"/>
    <s v="Alkem Laboratories"/>
    <s v="ATE0125C"/>
    <d v="2026-12-01T00:00:00"/>
    <n v="126"/>
    <s v="February"/>
  </r>
  <r>
    <s v="02-26-2025"/>
    <s v="Dr. Satbir Khumber"/>
    <s v="Kuldeep Singh"/>
    <n v="11"/>
    <x v="7"/>
    <s v="Cipla"/>
    <s v="SAL0225/25"/>
    <d v="2027-06-01T00:00:00"/>
    <n v="44"/>
    <s v="February"/>
  </r>
  <r>
    <s v="02-26-2025"/>
    <s v="OTC"/>
    <s v="Ankit Bhadu"/>
    <n v="24"/>
    <x v="8"/>
    <s v="Sun Pharma"/>
    <s v="DOX0125B"/>
    <d v="2027-09-01T00:00:00"/>
    <n v="240"/>
    <s v="February"/>
  </r>
  <r>
    <s v="02-26-2025"/>
    <s v="Dr. Amit Narang"/>
    <s v="Amit Dhaka"/>
    <n v="4"/>
    <x v="9"/>
    <s v="Mankind Pharma"/>
    <s v="PAN0125B"/>
    <d v="2026-10-01T00:00:00"/>
    <n v="20"/>
    <s v="February"/>
  </r>
  <r>
    <s v="02-26-2025"/>
    <s v="Dr. Rajesh Batra"/>
    <s v="Sube Ram"/>
    <n v="7"/>
    <x v="10"/>
    <s v="GSK India"/>
    <s v="CRO1224C"/>
    <d v="2027-03-01T00:00:00"/>
    <n v="14"/>
    <s v="February"/>
  </r>
  <r>
    <s v="02-26-2025"/>
    <s v="Dr. Amit Narang"/>
    <s v="Ram Kumar"/>
    <n v="6"/>
    <x v="11"/>
    <s v="GSK India"/>
    <s v="ENO0425B"/>
    <d v="2027-03-01T00:00:00"/>
    <n v="60"/>
    <s v="February"/>
  </r>
  <r>
    <s v="02-26-2025"/>
    <s v="Dr. Sameer Tuteja"/>
    <s v="Amar Burdak"/>
    <n v="3"/>
    <x v="12"/>
    <s v="Sanofi India"/>
    <s v="BET0225C"/>
    <d v="2026-07-01T00:00:00"/>
    <n v="360"/>
    <s v="February"/>
  </r>
  <r>
    <s v="02-26-2025"/>
    <s v="Dr. HC Dahiya"/>
    <s v="Sahil Chundwal"/>
    <n v="16"/>
    <x v="13"/>
    <s v="Mankind Pharma"/>
    <s v="ALB1224/25"/>
    <d v="2027-04-01T00:00:00"/>
    <n v="320"/>
    <s v="February"/>
  </r>
  <r>
    <s v="02-27-2025"/>
    <s v="Dr. Amit Narang"/>
    <s v="Sahil Chundwal"/>
    <n v="30"/>
    <x v="14"/>
    <s v="Pfizer India"/>
    <s v="OXY0425/25"/>
    <d v="2027-03-01T00:00:00"/>
    <n v="900"/>
    <s v="February"/>
  </r>
  <r>
    <s v="02-27-2025"/>
    <s v="Dr. Rajesh Batra"/>
    <s v="Sumitra Devi"/>
    <n v="15"/>
    <x v="15"/>
    <s v="Abbott India"/>
    <s v="ENR0325B"/>
    <d v="2026-12-01T00:00:00"/>
    <n v="600"/>
    <s v="February"/>
  </r>
  <r>
    <s v="02-27-2025"/>
    <s v="Dr. Virender Siwach"/>
    <s v="Mandeep Kumar"/>
    <n v="27"/>
    <x v="16"/>
    <s v="Sun Pharma"/>
    <s v="IVE1224X"/>
    <d v="2027-10-01T00:00:00"/>
    <n v="1350"/>
    <s v="February"/>
  </r>
  <r>
    <s v="02-27-2025"/>
    <s v="Dr. Rajesh Batra"/>
    <s v="Dinesh Sharma"/>
    <n v="10"/>
    <x v="0"/>
    <s v="Cipla"/>
    <s v="PAR0125B"/>
    <d v="2027-06-01T00:00:00"/>
    <n v="20"/>
    <s v="February"/>
  </r>
  <r>
    <s v="02-27-2025"/>
    <s v="Dr. Rajesh Batra"/>
    <s v="Santosh Rani"/>
    <n v="8"/>
    <x v="1"/>
    <s v="Sun Pharma"/>
    <s v="IBU0425A"/>
    <d v="2026-08-01T00:00:00"/>
    <n v="24"/>
    <s v="February"/>
  </r>
  <r>
    <s v="02-27-2025"/>
    <s v="Dr. Vinay Singla"/>
    <s v="Ram Kumar"/>
    <n v="5"/>
    <x v="2"/>
    <s v="Dr. Reddyâ€™s"/>
    <s v="AMO0225B"/>
    <d v="2027-01-01T00:00:00"/>
    <n v="40"/>
    <s v="February"/>
  </r>
  <r>
    <s v="02-27-2025"/>
    <s v="Dr. Renu Bansal"/>
    <s v="Sube Ram"/>
    <n v="12"/>
    <x v="3"/>
    <s v="Zydus Cadila"/>
    <s v="CET0225X"/>
    <d v="2026-10-01T00:00:00"/>
    <n v="36"/>
    <s v="February"/>
  </r>
  <r>
    <s v="02-27-2025"/>
    <s v="Dr. Virender Siwach"/>
    <s v="Naseeb Khakhal"/>
    <n v="10"/>
    <x v="4"/>
    <s v="Lupin"/>
    <s v="MET0325A"/>
    <d v="2026-04-01T00:00:00"/>
    <n v="40"/>
    <s v="February"/>
  </r>
  <r>
    <s v="02-28-2025"/>
    <s v="OTC"/>
    <s v="Naseeb Khakhal"/>
    <n v="1"/>
    <x v="5"/>
    <s v="Torrent Pharma"/>
    <s v="AML0425/25"/>
    <d v="2026-10-01T00:00:00"/>
    <n v="5"/>
    <s v="February"/>
  </r>
  <r>
    <s v="02-28-2025"/>
    <s v="OTC"/>
    <s v="Hari Singh"/>
    <n v="28"/>
    <x v="6"/>
    <s v="Alkem Laboratories"/>
    <s v="ATE0125A"/>
    <d v="2026-06-01T00:00:00"/>
    <n v="168"/>
    <s v="February"/>
  </r>
  <r>
    <s v="02-28-2025"/>
    <s v="Dr. Manohar Pahuja"/>
    <s v="Sita Ram"/>
    <n v="9"/>
    <x v="7"/>
    <s v="Cipla"/>
    <s v="SAL0325C"/>
    <d v="2027-05-01T00:00:00"/>
    <n v="36"/>
    <s v="February"/>
  </r>
  <r>
    <s v="02-28-2025"/>
    <s v="OTC"/>
    <s v="Raman Dhaka"/>
    <n v="16"/>
    <x v="8"/>
    <s v="Sun Pharma"/>
    <s v="DOX0425/25"/>
    <d v="2026-07-01T00:00:00"/>
    <n v="160"/>
    <s v="February"/>
  </r>
  <r>
    <s v="02-28-2025"/>
    <s v="Dr. Sameer Tuteja"/>
    <s v="Sumit Kumar"/>
    <n v="9"/>
    <x v="9"/>
    <s v="Mankind Pharma"/>
    <s v="PAN0325X"/>
    <d v="2027-04-01T00:00:00"/>
    <n v="45"/>
    <s v="February"/>
  </r>
  <r>
    <s v="02-28-2025"/>
    <s v="Dr. Ramphal Dhaka"/>
    <s v="Sahil Chundwal"/>
    <n v="3"/>
    <x v="10"/>
    <s v="GSK India"/>
    <s v="CRO1224C"/>
    <d v="2027-07-01T00:00:00"/>
    <n v="6"/>
    <s v="February"/>
  </r>
  <r>
    <s v="02-28-2025"/>
    <s v="OTC"/>
    <s v="Krishan Singh"/>
    <n v="26"/>
    <x v="11"/>
    <s v="GSK India"/>
    <s v="ENO1224B"/>
    <d v="2026-12-01T00:00:00"/>
    <n v="260"/>
    <s v="February"/>
  </r>
  <r>
    <s v="02-28-2025"/>
    <s v="Dr. Manohar Pahuja"/>
    <s v="Baljinder Singh"/>
    <n v="27"/>
    <x v="12"/>
    <s v="Sanofi India"/>
    <s v="BET0325C"/>
    <d v="2028-01-01T00:00:00"/>
    <n v="3240"/>
    <s v="February"/>
  </r>
  <r>
    <d v="2025-01-03T00:00:00"/>
    <s v="Dr. Sameer Tuteja"/>
    <s v="Santosh Rani"/>
    <n v="10"/>
    <x v="13"/>
    <s v="Mankind Pharma"/>
    <s v="ALB0425/25"/>
    <d v="2027-05-01T00:00:00"/>
    <n v="200"/>
    <s v="March"/>
  </r>
  <r>
    <d v="2025-01-03T00:00:00"/>
    <s v="Dr. Sameer Tuteja"/>
    <s v="Ram Kumar"/>
    <n v="6"/>
    <x v="14"/>
    <s v="Pfizer India"/>
    <s v="OXY0125/25"/>
    <d v="2026-08-01T00:00:00"/>
    <n v="180"/>
    <s v="March"/>
  </r>
  <r>
    <d v="2025-01-03T00:00:00"/>
    <s v="Dr. Sameer Tuteja"/>
    <s v="Ankit Bhadu"/>
    <n v="29"/>
    <x v="15"/>
    <s v="Abbott India"/>
    <s v="ENR1224A"/>
    <d v="2026-06-01T00:00:00"/>
    <n v="1160"/>
    <s v="March"/>
  </r>
  <r>
    <d v="2025-01-03T00:00:00"/>
    <s v="Dr. Satbir Khumber"/>
    <s v="Chander Bhan"/>
    <n v="8"/>
    <x v="16"/>
    <s v="Sun Pharma"/>
    <s v="IVE0425X"/>
    <d v="2027-09-01T00:00:00"/>
    <n v="400"/>
    <s v="March"/>
  </r>
  <r>
    <d v="2025-01-03T00:00:00"/>
    <s v="Dr. Geeta Choudhary"/>
    <s v="Hari Singh"/>
    <n v="28"/>
    <x v="0"/>
    <s v="Cipla"/>
    <s v="PAR0125A"/>
    <d v="2026-06-01T00:00:00"/>
    <n v="56"/>
    <s v="March"/>
  </r>
  <r>
    <d v="2025-01-03T00:00:00"/>
    <s v="OTC"/>
    <s v="Shishpal Sharma"/>
    <n v="4"/>
    <x v="1"/>
    <s v="Sun Pharma"/>
    <s v="IBU1224B"/>
    <d v="2026-05-01T00:00:00"/>
    <n v="12"/>
    <s v="March"/>
  </r>
  <r>
    <d v="2025-01-03T00:00:00"/>
    <s v="Dr. Ramphal Dhaka"/>
    <s v="Hari Singh"/>
    <n v="29"/>
    <x v="2"/>
    <s v="Dr. Reddyâ€™s"/>
    <s v="AMO1224A"/>
    <d v="2027-11-01T00:00:00"/>
    <n v="232"/>
    <s v="March"/>
  </r>
  <r>
    <d v="2025-01-03T00:00:00"/>
    <s v="Dr. Ramphal Dhaka"/>
    <s v="Krishan Singh"/>
    <n v="14"/>
    <x v="3"/>
    <s v="Zydus Cadila"/>
    <s v="CET0425B"/>
    <d v="2027-04-01T00:00:00"/>
    <n v="42"/>
    <s v="March"/>
  </r>
  <r>
    <d v="2025-02-03T00:00:00"/>
    <s v="Dr. Vinay Singla"/>
    <s v="Baljinder Singh"/>
    <n v="2"/>
    <x v="4"/>
    <s v="Lupin"/>
    <s v="MET0425B"/>
    <d v="2026-12-01T00:00:00"/>
    <n v="8"/>
    <s v="March"/>
  </r>
  <r>
    <d v="2025-02-03T00:00:00"/>
    <s v="OTC"/>
    <s v="Ram Kumar"/>
    <n v="16"/>
    <x v="5"/>
    <s v="Torrent Pharma"/>
    <s v="AML0225X"/>
    <d v="2026-05-01T00:00:00"/>
    <n v="80"/>
    <s v="March"/>
  </r>
  <r>
    <d v="2025-02-03T00:00:00"/>
    <s v="OTC"/>
    <s v="Dinesh Sharma"/>
    <n v="7"/>
    <x v="6"/>
    <s v="Alkem Laboratories"/>
    <s v="ATE0125B"/>
    <d v="2026-03-01T00:00:00"/>
    <n v="42"/>
    <s v="March"/>
  </r>
  <r>
    <d v="2025-02-03T00:00:00"/>
    <s v="Dr. Manohar Pahuja"/>
    <s v="Amar Burdak"/>
    <n v="12"/>
    <x v="7"/>
    <s v="Cipla"/>
    <s v="SAL0125A"/>
    <d v="2027-09-01T00:00:00"/>
    <n v="48"/>
    <s v="March"/>
  </r>
  <r>
    <d v="2025-02-03T00:00:00"/>
    <s v="Dr. Geeta Choudhary"/>
    <s v="Sita Ram"/>
    <n v="5"/>
    <x v="8"/>
    <s v="Sun Pharma"/>
    <s v="DOX0125A"/>
    <d v="2027-07-01T00:00:00"/>
    <n v="50"/>
    <s v="March"/>
  </r>
  <r>
    <d v="2025-02-03T00:00:00"/>
    <s v="Dr. Anshul Sehgal"/>
    <s v="Randhir Fageria"/>
    <n v="1"/>
    <x v="9"/>
    <s v="Mankind Pharma"/>
    <s v="PAN0325C"/>
    <d v="2026-06-01T00:00:00"/>
    <n v="5"/>
    <s v="March"/>
  </r>
  <r>
    <d v="2025-02-03T00:00:00"/>
    <s v="Dr. Anshul Sehgal"/>
    <s v="Ram Kumar"/>
    <n v="8"/>
    <x v="10"/>
    <s v="GSK India"/>
    <s v="CRO0225C"/>
    <d v="2027-02-01T00:00:00"/>
    <n v="16"/>
    <s v="March"/>
  </r>
  <r>
    <d v="2025-02-03T00:00:00"/>
    <s v="Dr. Manohar Pahuja"/>
    <s v="Shyam Sunder"/>
    <n v="2"/>
    <x v="11"/>
    <s v="GSK India"/>
    <s v="ENO0425B"/>
    <d v="2028-01-01T00:00:00"/>
    <n v="20"/>
    <s v="March"/>
  </r>
  <r>
    <d v="2025-03-03T00:00:00"/>
    <s v="Dr. Virender Siwach"/>
    <s v="Mohit Chaberwal"/>
    <n v="21"/>
    <x v="12"/>
    <s v="Sanofi India"/>
    <s v="BET0325A"/>
    <d v="2026-03-01T00:00:00"/>
    <n v="2520"/>
    <s v="March"/>
  </r>
  <r>
    <d v="2025-03-03T00:00:00"/>
    <s v="Dr. Manohar Pahuja"/>
    <s v="Yogesh Khicher"/>
    <n v="25"/>
    <x v="13"/>
    <s v="Mankind Pharma"/>
    <s v="ALB0325B"/>
    <d v="2027-11-01T00:00:00"/>
    <n v="500"/>
    <s v="March"/>
  </r>
  <r>
    <d v="2025-03-03T00:00:00"/>
    <s v="Dr. Ramphal Dhaka"/>
    <s v="Randhir Fageria"/>
    <n v="11"/>
    <x v="14"/>
    <s v="Pfizer India"/>
    <s v="OXY0425/25"/>
    <d v="2028-03-01T00:00:00"/>
    <n v="330"/>
    <s v="March"/>
  </r>
  <r>
    <d v="2025-03-03T00:00:00"/>
    <s v="Dr. Kamaljeet Sambhyl"/>
    <s v="Dinesh Sharma"/>
    <n v="13"/>
    <x v="15"/>
    <s v="Abbott India"/>
    <s v="ENR1224X"/>
    <d v="2026-08-01T00:00:00"/>
    <n v="520"/>
    <s v="March"/>
  </r>
  <r>
    <d v="2025-03-03T00:00:00"/>
    <s v="Dr. Anshul Sehgal"/>
    <s v="Amar Burdak"/>
    <n v="9"/>
    <x v="16"/>
    <s v="Sun Pharma"/>
    <s v="IVE0125A"/>
    <d v="2026-03-01T00:00:00"/>
    <n v="450"/>
    <s v="March"/>
  </r>
  <r>
    <d v="2025-03-03T00:00:00"/>
    <s v="Dr. Geeta Choudhary"/>
    <s v="Brijlalal Dhaka"/>
    <n v="16"/>
    <x v="0"/>
    <s v="Cipla"/>
    <s v="PAR0425B"/>
    <d v="2026-04-01T00:00:00"/>
    <n v="32"/>
    <s v="March"/>
  </r>
  <r>
    <d v="2025-03-03T00:00:00"/>
    <s v="OTC"/>
    <s v="Ravi Dhaka"/>
    <n v="30"/>
    <x v="1"/>
    <s v="Sun Pharma"/>
    <s v="IBU0225X"/>
    <d v="2027-11-01T00:00:00"/>
    <n v="90"/>
    <s v="March"/>
  </r>
  <r>
    <d v="2025-03-03T00:00:00"/>
    <s v="Dr. Renu Bansal"/>
    <s v="Radhe Shaym"/>
    <n v="3"/>
    <x v="2"/>
    <s v="Dr. Reddyâ€™s"/>
    <s v="AMO0125X"/>
    <d v="2027-08-01T00:00:00"/>
    <n v="24"/>
    <s v="March"/>
  </r>
  <r>
    <d v="2025-04-03T00:00:00"/>
    <s v="OTC"/>
    <s v="Ankit Bhadu"/>
    <n v="18"/>
    <x v="3"/>
    <s v="Zydus Cadila"/>
    <s v="CET0325C"/>
    <d v="2027-01-01T00:00:00"/>
    <n v="54"/>
    <s v="March"/>
  </r>
  <r>
    <d v="2025-04-03T00:00:00"/>
    <s v="Dr. Sameer Tuteja"/>
    <s v="Ankit Bhadu"/>
    <n v="12"/>
    <x v="4"/>
    <s v="Lupin"/>
    <s v="MET1224/25"/>
    <d v="2027-01-01T00:00:00"/>
    <n v="48"/>
    <s v="March"/>
  </r>
  <r>
    <d v="2025-04-03T00:00:00"/>
    <s v="OTC"/>
    <s v="Sanjay Riwar"/>
    <n v="14"/>
    <x v="5"/>
    <s v="Torrent Pharma"/>
    <s v="AML0225A"/>
    <d v="2027-04-01T00:00:00"/>
    <n v="70"/>
    <s v="March"/>
  </r>
  <r>
    <d v="2025-04-03T00:00:00"/>
    <s v="Dr. Virender Siwach"/>
    <s v="Sanjay Riwar"/>
    <n v="25"/>
    <x v="6"/>
    <s v="Alkem Laboratories"/>
    <s v="ATE0125A"/>
    <d v="2027-09-01T00:00:00"/>
    <n v="150"/>
    <s v="March"/>
  </r>
  <r>
    <d v="2025-04-03T00:00:00"/>
    <s v="OTC"/>
    <s v="Shishpal Sharma"/>
    <n v="10"/>
    <x v="7"/>
    <s v="Cipla"/>
    <s v="SAL0325A"/>
    <d v="2026-06-01T00:00:00"/>
    <n v="40"/>
    <s v="March"/>
  </r>
  <r>
    <d v="2025-04-03T00:00:00"/>
    <s v="OTC"/>
    <s v="Umesh Kumar"/>
    <n v="11"/>
    <x v="8"/>
    <s v="Sun Pharma"/>
    <s v="DOX0425B"/>
    <d v="2026-11-01T00:00:00"/>
    <n v="110"/>
    <s v="March"/>
  </r>
  <r>
    <d v="2025-04-03T00:00:00"/>
    <s v="Dr. Anshul Sehgal"/>
    <s v="Umesh Kumar"/>
    <n v="20"/>
    <x v="9"/>
    <s v="Mankind Pharma"/>
    <s v="PAN0125X"/>
    <d v="2026-08-01T00:00:00"/>
    <n v="100"/>
    <s v="March"/>
  </r>
  <r>
    <d v="2025-04-03T00:00:00"/>
    <s v="OTC"/>
    <s v="Dinesh Sharma"/>
    <n v="24"/>
    <x v="10"/>
    <s v="GSK India"/>
    <s v="CRO0325X"/>
    <d v="2027-11-01T00:00:00"/>
    <n v="48"/>
    <s v="March"/>
  </r>
  <r>
    <d v="2025-05-03T00:00:00"/>
    <s v="Dr. Vinay Singla"/>
    <s v="Baljinder Singh"/>
    <n v="21"/>
    <x v="11"/>
    <s v="GSK India"/>
    <s v="ENO0125B"/>
    <d v="2026-07-01T00:00:00"/>
    <n v="210"/>
    <s v="March"/>
  </r>
  <r>
    <d v="2025-05-03T00:00:00"/>
    <s v="Dr. Renu Bansal"/>
    <s v="Amar Burdak"/>
    <n v="22"/>
    <x v="12"/>
    <s v="Sanofi India"/>
    <s v="BET0125A"/>
    <d v="2026-01-01T00:00:00"/>
    <n v="2640"/>
    <s v="March"/>
  </r>
  <r>
    <d v="2025-05-03T00:00:00"/>
    <s v="Dr. Renu Bansal"/>
    <s v="Tamanna Dhaka"/>
    <n v="27"/>
    <x v="13"/>
    <s v="Mankind Pharma"/>
    <s v="ALB0225/25"/>
    <d v="2026-04-01T00:00:00"/>
    <n v="540"/>
    <s v="March"/>
  </r>
  <r>
    <d v="2025-05-03T00:00:00"/>
    <s v="Dr. Rajesh Batra"/>
    <s v="Brijlalal Dhaka"/>
    <n v="4"/>
    <x v="14"/>
    <s v="Pfizer India"/>
    <s v="OXY0225/25"/>
    <d v="2027-11-01T00:00:00"/>
    <n v="120"/>
    <s v="March"/>
  </r>
  <r>
    <d v="2025-05-03T00:00:00"/>
    <s v="OTC"/>
    <s v="Shyam Sunder"/>
    <n v="24"/>
    <x v="15"/>
    <s v="Abbott India"/>
    <s v="ENR0325B"/>
    <d v="2027-11-01T00:00:00"/>
    <n v="960"/>
    <s v="March"/>
  </r>
  <r>
    <d v="2025-05-03T00:00:00"/>
    <s v="Dr. Renu Bansal"/>
    <s v="Ram Kumar"/>
    <n v="21"/>
    <x v="16"/>
    <s v="Sun Pharma"/>
    <s v="IVE1224X"/>
    <d v="2026-10-01T00:00:00"/>
    <n v="1050"/>
    <s v="March"/>
  </r>
  <r>
    <d v="2025-05-03T00:00:00"/>
    <s v="Dr. Geeta Choudhary"/>
    <s v="Balbir Fageria"/>
    <n v="6"/>
    <x v="0"/>
    <s v="Cipla"/>
    <s v="PAR1224/25"/>
    <d v="2026-05-01T00:00:00"/>
    <n v="12"/>
    <s v="March"/>
  </r>
  <r>
    <d v="2025-05-03T00:00:00"/>
    <s v="Dr. Vinay Singla"/>
    <s v="Ravi Dhaka"/>
    <n v="17"/>
    <x v="1"/>
    <s v="Sun Pharma"/>
    <s v="IBU0325C"/>
    <d v="2027-07-01T00:00:00"/>
    <n v="51"/>
    <s v="March"/>
  </r>
  <r>
    <d v="2025-06-03T00:00:00"/>
    <s v="OTC"/>
    <s v="Umesh Kumar"/>
    <n v="18"/>
    <x v="2"/>
    <s v="Dr. Reddyâ€™s"/>
    <s v="AMO0325B"/>
    <d v="2026-11-01T00:00:00"/>
    <n v="144"/>
    <s v="March"/>
  </r>
  <r>
    <d v="2025-06-03T00:00:00"/>
    <s v="Dr. Geeta Choudhary"/>
    <s v="Sube Ram"/>
    <n v="29"/>
    <x v="3"/>
    <s v="Zydus Cadila"/>
    <s v="CET0225A"/>
    <d v="2027-12-01T00:00:00"/>
    <n v="87"/>
    <s v="March"/>
  </r>
  <r>
    <d v="2025-06-03T00:00:00"/>
    <s v="Dr. Geeta Choudhary"/>
    <s v="Naseeb Khakhal"/>
    <n v="6"/>
    <x v="4"/>
    <s v="Lupin"/>
    <s v="MET1224A"/>
    <d v="2026-03-01T00:00:00"/>
    <n v="24"/>
    <s v="March"/>
  </r>
  <r>
    <d v="2025-06-03T00:00:00"/>
    <s v="Dr. Renu Bansal"/>
    <s v="Shishpal Sharma"/>
    <n v="27"/>
    <x v="5"/>
    <s v="Torrent Pharma"/>
    <s v="AML0425/25"/>
    <d v="2027-05-01T00:00:00"/>
    <n v="135"/>
    <s v="March"/>
  </r>
  <r>
    <d v="2025-06-03T00:00:00"/>
    <s v="Dr. Manohar Pahuja"/>
    <s v="Radhe Shaym"/>
    <n v="29"/>
    <x v="6"/>
    <s v="Alkem Laboratories"/>
    <s v="ATE1224A"/>
    <d v="2027-03-01T00:00:00"/>
    <n v="174"/>
    <s v="March"/>
  </r>
  <r>
    <d v="2025-06-03T00:00:00"/>
    <s v="Dr. Anshul Sehgal"/>
    <s v="Naresh Didharia"/>
    <n v="16"/>
    <x v="7"/>
    <s v="Cipla"/>
    <s v="SAL0125C"/>
    <d v="2026-06-01T00:00:00"/>
    <n v="64"/>
    <s v="March"/>
  </r>
  <r>
    <d v="2025-06-03T00:00:00"/>
    <s v="OTC"/>
    <s v="Ramkla Devi"/>
    <n v="30"/>
    <x v="8"/>
    <s v="Sun Pharma"/>
    <s v="DOX0225C"/>
    <d v="2027-10-01T00:00:00"/>
    <n v="300"/>
    <s v="March"/>
  </r>
  <r>
    <d v="2025-06-03T00:00:00"/>
    <s v="Dr. Rajesh Batra"/>
    <s v="Dinesh Sharma"/>
    <n v="10"/>
    <x v="9"/>
    <s v="Mankind Pharma"/>
    <s v="PAN0325A"/>
    <d v="2026-08-01T00:00:00"/>
    <n v="50"/>
    <s v="March"/>
  </r>
  <r>
    <d v="2025-07-03T00:00:00"/>
    <s v="OTC"/>
    <s v="Yogesh Khicher"/>
    <n v="2"/>
    <x v="10"/>
    <s v="GSK India"/>
    <s v="CRO0325C"/>
    <d v="2027-02-01T00:00:00"/>
    <n v="4"/>
    <s v="March"/>
  </r>
  <r>
    <d v="2025-07-03T00:00:00"/>
    <s v="Dr. Kamaljeet Sambhyl"/>
    <s v="Mandeep Kumar"/>
    <n v="1"/>
    <x v="11"/>
    <s v="GSK India"/>
    <s v="ENO0125C"/>
    <d v="2027-03-01T00:00:00"/>
    <n v="10"/>
    <s v="March"/>
  </r>
  <r>
    <d v="2025-07-03T00:00:00"/>
    <s v="OTC"/>
    <s v="Sube Ram"/>
    <n v="27"/>
    <x v="12"/>
    <s v="Sanofi India"/>
    <s v="BET0125X"/>
    <d v="2026-02-01T00:00:00"/>
    <n v="3240"/>
    <s v="March"/>
  </r>
  <r>
    <d v="2025-07-03T00:00:00"/>
    <s v="Dr. Amit Narang"/>
    <s v="Sanjay Riwar"/>
    <n v="27"/>
    <x v="13"/>
    <s v="Mankind Pharma"/>
    <s v="ALB0425B"/>
    <d v="2028-01-01T00:00:00"/>
    <n v="540"/>
    <s v="March"/>
  </r>
  <r>
    <d v="2025-07-03T00:00:00"/>
    <s v="Dr. Rajesh Batra"/>
    <s v="Ankit Bhadu"/>
    <n v="15"/>
    <x v="14"/>
    <s v="Pfizer India"/>
    <s v="OXY0325B"/>
    <d v="2027-05-01T00:00:00"/>
    <n v="450"/>
    <s v="March"/>
  </r>
  <r>
    <d v="2025-07-03T00:00:00"/>
    <s v="Dr. Ramphal Dhaka"/>
    <s v="Amit Dhaka"/>
    <n v="10"/>
    <x v="15"/>
    <s v="Abbott India"/>
    <s v="ENR0325X"/>
    <d v="2026-04-01T00:00:00"/>
    <n v="400"/>
    <s v="March"/>
  </r>
  <r>
    <d v="2025-07-03T00:00:00"/>
    <s v="Dr. Virender Siwach"/>
    <s v="Ankit Bhadu"/>
    <n v="27"/>
    <x v="16"/>
    <s v="Sun Pharma"/>
    <s v="IVE0225C"/>
    <d v="2027-02-01T00:00:00"/>
    <n v="1350"/>
    <s v="March"/>
  </r>
  <r>
    <d v="2025-07-03T00:00:00"/>
    <s v="Dr. Renu Bansal"/>
    <s v="Mohit Chaberwal"/>
    <n v="17"/>
    <x v="0"/>
    <s v="Cipla"/>
    <s v="PAR1224A"/>
    <d v="2027-01-01T00:00:00"/>
    <n v="34"/>
    <s v="March"/>
  </r>
  <r>
    <d v="2025-08-03T00:00:00"/>
    <s v="Dr. Kamaljeet Sambhyl"/>
    <s v="Pawan Khakhal"/>
    <n v="11"/>
    <x v="1"/>
    <s v="Sun Pharma"/>
    <s v="IBU1224X"/>
    <d v="2026-02-01T00:00:00"/>
    <n v="33"/>
    <s v="March"/>
  </r>
  <r>
    <d v="2025-08-03T00:00:00"/>
    <s v="Dr. Geeta Choudhary"/>
    <s v="Amar Burdak"/>
    <n v="30"/>
    <x v="2"/>
    <s v="Dr. Reddyâ€™s"/>
    <s v="AMO0225C"/>
    <d v="2027-09-01T00:00:00"/>
    <n v="240"/>
    <s v="March"/>
  </r>
  <r>
    <d v="2025-08-03T00:00:00"/>
    <s v="Dr. Rajesh Batra"/>
    <s v="Pawan Khakhal"/>
    <n v="4"/>
    <x v="3"/>
    <s v="Zydus Cadila"/>
    <s v="CET0325/25"/>
    <d v="2026-10-01T00:00:00"/>
    <n v="12"/>
    <s v="March"/>
  </r>
  <r>
    <d v="2025-08-03T00:00:00"/>
    <s v="Dr. Satbir Khumber"/>
    <s v="Naresh Didharia"/>
    <n v="2"/>
    <x v="4"/>
    <s v="Lupin"/>
    <s v="MET1224B"/>
    <d v="2027-02-01T00:00:00"/>
    <n v="8"/>
    <s v="March"/>
  </r>
  <r>
    <d v="2025-08-03T00:00:00"/>
    <s v="Dr. Vinay Singla"/>
    <s v="Sanjay Riwar"/>
    <n v="11"/>
    <x v="5"/>
    <s v="Torrent Pharma"/>
    <s v="AML0225X"/>
    <d v="2026-09-01T00:00:00"/>
    <n v="55"/>
    <s v="March"/>
  </r>
  <r>
    <d v="2025-08-03T00:00:00"/>
    <s v="Dr. HC Dahiya"/>
    <s v="Krishan Singh"/>
    <n v="19"/>
    <x v="6"/>
    <s v="Alkem Laboratories"/>
    <s v="ATE0225/25"/>
    <d v="2026-03-01T00:00:00"/>
    <n v="114"/>
    <s v="March"/>
  </r>
  <r>
    <d v="2025-08-03T00:00:00"/>
    <s v="Dr. Kamaljeet Sambhyl"/>
    <s v="Baljinder Singh"/>
    <n v="4"/>
    <x v="7"/>
    <s v="Cipla"/>
    <s v="SAL0425C"/>
    <d v="2027-11-01T00:00:00"/>
    <n v="16"/>
    <s v="March"/>
  </r>
  <r>
    <d v="2025-08-03T00:00:00"/>
    <s v="OTC"/>
    <s v="Krishan Singh"/>
    <n v="14"/>
    <x v="8"/>
    <s v="Sun Pharma"/>
    <s v="DOX0325A"/>
    <d v="2026-05-01T00:00:00"/>
    <n v="140"/>
    <s v="March"/>
  </r>
  <r>
    <d v="2025-09-03T00:00:00"/>
    <s v="OTC"/>
    <s v="Santosh Rani"/>
    <n v="11"/>
    <x v="9"/>
    <s v="Mankind Pharma"/>
    <s v="PAN1224X"/>
    <d v="2027-04-01T00:00:00"/>
    <n v="55"/>
    <s v="March"/>
  </r>
  <r>
    <d v="2025-09-03T00:00:00"/>
    <s v="Dr. Rajesh Batra"/>
    <s v="Ravi Dhaka"/>
    <n v="27"/>
    <x v="10"/>
    <s v="GSK India"/>
    <s v="CRO0125A"/>
    <d v="2027-08-01T00:00:00"/>
    <n v="54"/>
    <s v="March"/>
  </r>
  <r>
    <d v="2025-09-03T00:00:00"/>
    <s v="Dr. Sameer Tuteja"/>
    <s v="Baljinder Singh"/>
    <n v="27"/>
    <x v="11"/>
    <s v="GSK India"/>
    <s v="ENO1224X"/>
    <d v="2026-12-01T00:00:00"/>
    <n v="270"/>
    <s v="March"/>
  </r>
  <r>
    <d v="2025-09-03T00:00:00"/>
    <s v="Dr. Geeta Choudhary"/>
    <s v="Raman Dhaka"/>
    <n v="6"/>
    <x v="12"/>
    <s v="Sanofi India"/>
    <s v="BET0325X"/>
    <d v="2027-07-01T00:00:00"/>
    <n v="720"/>
    <s v="March"/>
  </r>
  <r>
    <d v="2025-09-03T00:00:00"/>
    <s v="Dr. Amit Narang"/>
    <s v="Naseeb Khakhal"/>
    <n v="5"/>
    <x v="13"/>
    <s v="Mankind Pharma"/>
    <s v="ALB1224A"/>
    <d v="2027-09-01T00:00:00"/>
    <n v="100"/>
    <s v="March"/>
  </r>
  <r>
    <d v="2025-09-03T00:00:00"/>
    <s v="OTC"/>
    <s v="Umesh Kumar"/>
    <n v="6"/>
    <x v="14"/>
    <s v="Pfizer India"/>
    <s v="OXY0425A"/>
    <d v="2026-07-01T00:00:00"/>
    <n v="180"/>
    <s v="March"/>
  </r>
  <r>
    <d v="2025-09-03T00:00:00"/>
    <s v="Dr. Manohar Pahuja"/>
    <s v="Balbir Fageria"/>
    <n v="15"/>
    <x v="15"/>
    <s v="Abbott India"/>
    <s v="ENR0425/25"/>
    <d v="2026-05-01T00:00:00"/>
    <n v="600"/>
    <s v="March"/>
  </r>
  <r>
    <d v="2025-09-03T00:00:00"/>
    <s v="Dr. Anshul Sehgal"/>
    <s v="Sumitra Devi"/>
    <n v="1"/>
    <x v="16"/>
    <s v="Sun Pharma"/>
    <s v="IVE0125C"/>
    <d v="2026-04-01T00:00:00"/>
    <n v="50"/>
    <s v="March"/>
  </r>
  <r>
    <d v="2025-10-03T00:00:00"/>
    <s v="Dr. Renu Bansal"/>
    <s v="Amit Dhaka"/>
    <n v="20"/>
    <x v="0"/>
    <s v="Cipla"/>
    <s v="PAR0225A"/>
    <d v="2028-01-01T00:00:00"/>
    <n v="40"/>
    <s v="March"/>
  </r>
  <r>
    <d v="2025-10-03T00:00:00"/>
    <s v="Dr. Rajesh Batra"/>
    <s v="Manisha Rani"/>
    <n v="25"/>
    <x v="1"/>
    <s v="Sun Pharma"/>
    <s v="IBU1224B"/>
    <d v="2027-11-01T00:00:00"/>
    <n v="75"/>
    <s v="March"/>
  </r>
  <r>
    <d v="2025-10-03T00:00:00"/>
    <s v="Dr. Vinay Singla"/>
    <s v="Balbir Fageria"/>
    <n v="24"/>
    <x v="2"/>
    <s v="Dr. Reddyâ€™s"/>
    <s v="AMO0225A"/>
    <d v="2027-07-01T00:00:00"/>
    <n v="192"/>
    <s v="March"/>
  </r>
  <r>
    <d v="2025-10-03T00:00:00"/>
    <s v="OTC"/>
    <s v="Mohit Chaberwal"/>
    <n v="25"/>
    <x v="3"/>
    <s v="Zydus Cadila"/>
    <s v="CET0225A"/>
    <d v="2026-02-01T00:00:00"/>
    <n v="75"/>
    <s v="March"/>
  </r>
  <r>
    <d v="2025-10-03T00:00:00"/>
    <s v="Dr. Vinay Singla"/>
    <s v="Radhe Shaym"/>
    <n v="22"/>
    <x v="4"/>
    <s v="Lupin"/>
    <s v="MET0225B"/>
    <d v="2027-02-01T00:00:00"/>
    <n v="88"/>
    <s v="March"/>
  </r>
  <r>
    <d v="2025-10-03T00:00:00"/>
    <s v="OTC"/>
    <s v="Tamanna Dhaka"/>
    <n v="10"/>
    <x v="5"/>
    <s v="Torrent Pharma"/>
    <s v="AML0425A"/>
    <d v="2027-04-01T00:00:00"/>
    <n v="50"/>
    <s v="March"/>
  </r>
  <r>
    <d v="2025-10-03T00:00:00"/>
    <s v="OTC"/>
    <s v="Radhe Shaym"/>
    <n v="29"/>
    <x v="6"/>
    <s v="Alkem Laboratories"/>
    <s v="ATE0225X"/>
    <d v="2027-10-01T00:00:00"/>
    <n v="174"/>
    <s v="March"/>
  </r>
  <r>
    <d v="2025-10-03T00:00:00"/>
    <s v="OTC"/>
    <s v="Radhe Shaym"/>
    <n v="23"/>
    <x v="7"/>
    <s v="Cipla"/>
    <s v="SAL0225A"/>
    <d v="2028-01-01T00:00:00"/>
    <n v="92"/>
    <s v="March"/>
  </r>
  <r>
    <d v="2025-11-03T00:00:00"/>
    <s v="Dr. Satbir Khumber"/>
    <s v="Sumit Kumar"/>
    <n v="12"/>
    <x v="8"/>
    <s v="Sun Pharma"/>
    <s v="DOX0325/25"/>
    <d v="2027-06-01T00:00:00"/>
    <n v="120"/>
    <s v="March"/>
  </r>
  <r>
    <d v="2025-11-03T00:00:00"/>
    <s v="Dr. Sameer Tuteja"/>
    <s v="Ram Kumar"/>
    <n v="10"/>
    <x v="9"/>
    <s v="Mankind Pharma"/>
    <s v="PAN0125A"/>
    <d v="2026-09-01T00:00:00"/>
    <n v="50"/>
    <s v="March"/>
  </r>
  <r>
    <d v="2025-11-03T00:00:00"/>
    <s v="Dr. Manohar Pahuja"/>
    <s v="Sita Ram"/>
    <n v="5"/>
    <x v="10"/>
    <s v="GSK India"/>
    <s v="CRO0425X"/>
    <d v="2028-01-01T00:00:00"/>
    <n v="10"/>
    <s v="March"/>
  </r>
  <r>
    <d v="2025-11-03T00:00:00"/>
    <s v="OTC"/>
    <s v="Baljinder Singh"/>
    <n v="25"/>
    <x v="11"/>
    <s v="GSK India"/>
    <s v="ENO0425C"/>
    <d v="2027-08-01T00:00:00"/>
    <n v="250"/>
    <s v="March"/>
  </r>
  <r>
    <d v="2025-11-03T00:00:00"/>
    <s v="Dr. Amit Narang"/>
    <s v="Naresh Didharia"/>
    <n v="1"/>
    <x v="12"/>
    <s v="Sanofi India"/>
    <s v="BET0425C"/>
    <d v="2026-07-01T00:00:00"/>
    <n v="120"/>
    <s v="March"/>
  </r>
  <r>
    <d v="2025-11-03T00:00:00"/>
    <s v="Dr. Virender Siwach"/>
    <s v="Mandeep Kumar"/>
    <n v="22"/>
    <x v="13"/>
    <s v="Mankind Pharma"/>
    <s v="ALB0125C"/>
    <d v="2027-03-01T00:00:00"/>
    <n v="440"/>
    <s v="March"/>
  </r>
  <r>
    <d v="2025-11-03T00:00:00"/>
    <s v="Dr. Geeta Choudhary"/>
    <s v="Sube Ram"/>
    <n v="3"/>
    <x v="14"/>
    <s v="Pfizer India"/>
    <s v="OXY0325C"/>
    <d v="2027-11-01T00:00:00"/>
    <n v="90"/>
    <s v="March"/>
  </r>
  <r>
    <d v="2025-11-03T00:00:00"/>
    <s v="Dr. Geeta Choudhary"/>
    <s v="Shyam Sunder"/>
    <n v="6"/>
    <x v="15"/>
    <s v="Abbott India"/>
    <s v="ENR0225X"/>
    <d v="2026-08-01T00:00:00"/>
    <n v="240"/>
    <s v="March"/>
  </r>
  <r>
    <d v="2025-12-03T00:00:00"/>
    <s v="Dr. HC Dahiya"/>
    <s v="Ankit Bhadu"/>
    <n v="22"/>
    <x v="16"/>
    <s v="Sun Pharma"/>
    <s v="IVE0225C"/>
    <d v="2026-06-01T00:00:00"/>
    <n v="1100"/>
    <s v="March"/>
  </r>
  <r>
    <d v="2025-12-03T00:00:00"/>
    <s v="Dr. Vinay Singla"/>
    <s v="Shyam Sunder"/>
    <n v="22"/>
    <x v="0"/>
    <s v="Cipla"/>
    <s v="PAR1224/25"/>
    <d v="2026-05-01T00:00:00"/>
    <n v="44"/>
    <s v="March"/>
  </r>
  <r>
    <d v="2025-12-03T00:00:00"/>
    <s v="Dr. Ramphal Dhaka"/>
    <s v="Naseeb Khakhal"/>
    <n v="13"/>
    <x v="1"/>
    <s v="Sun Pharma"/>
    <s v="IBU0325X"/>
    <d v="2028-01-01T00:00:00"/>
    <n v="39"/>
    <s v="March"/>
  </r>
  <r>
    <d v="2025-12-03T00:00:00"/>
    <s v="OTC"/>
    <s v="Shyam Sunder"/>
    <n v="26"/>
    <x v="2"/>
    <s v="Dr. Reddyâ€™s"/>
    <s v="AMO0225A"/>
    <d v="2026-05-01T00:00:00"/>
    <n v="208"/>
    <s v="March"/>
  </r>
  <r>
    <d v="2025-12-03T00:00:00"/>
    <s v="Dr. Virender Siwach"/>
    <s v="Umesh Kumar"/>
    <n v="23"/>
    <x v="3"/>
    <s v="Zydus Cadila"/>
    <s v="CET0425X"/>
    <d v="2026-09-01T00:00:00"/>
    <n v="69"/>
    <s v="March"/>
  </r>
  <r>
    <d v="2025-12-03T00:00:00"/>
    <s v="OTC"/>
    <s v="Umesh Kumar"/>
    <n v="17"/>
    <x v="4"/>
    <s v="Lupin"/>
    <s v="MET0225/25"/>
    <d v="2026-08-01T00:00:00"/>
    <n v="68"/>
    <s v="March"/>
  </r>
  <r>
    <d v="2025-12-03T00:00:00"/>
    <s v="Dr. Sameer Tuteja"/>
    <s v="Krishan Singh"/>
    <n v="19"/>
    <x v="5"/>
    <s v="Torrent Pharma"/>
    <s v="AML0225C"/>
    <d v="2026-06-01T00:00:00"/>
    <n v="95"/>
    <s v="March"/>
  </r>
  <r>
    <d v="2025-12-03T00:00:00"/>
    <s v="Dr. Manohar Pahuja"/>
    <s v="Pawan Khakhal"/>
    <n v="12"/>
    <x v="6"/>
    <s v="Alkem Laboratories"/>
    <s v="ATE0125X"/>
    <d v="2026-01-01T00:00:00"/>
    <n v="72"/>
    <s v="March"/>
  </r>
  <r>
    <s v="03-13-2025"/>
    <s v="Dr. HC Dahiya"/>
    <s v="Mohit Chaberwal"/>
    <n v="27"/>
    <x v="7"/>
    <s v="Cipla"/>
    <s v="SAL0325B"/>
    <d v="2027-04-01T00:00:00"/>
    <n v="108"/>
    <s v="March"/>
  </r>
  <r>
    <s v="03-13-2025"/>
    <s v="Dr. Geeta Choudhary"/>
    <s v="Sube Ram"/>
    <n v="7"/>
    <x v="8"/>
    <s v="Sun Pharma"/>
    <s v="DOX0225/25"/>
    <d v="2026-12-01T00:00:00"/>
    <n v="70"/>
    <s v="March"/>
  </r>
  <r>
    <s v="03-13-2025"/>
    <s v="OTC"/>
    <s v="Randhir Fageria"/>
    <n v="13"/>
    <x v="9"/>
    <s v="Mankind Pharma"/>
    <s v="PAN0325/25"/>
    <d v="2027-09-01T00:00:00"/>
    <n v="65"/>
    <s v="March"/>
  </r>
  <r>
    <s v="03-13-2025"/>
    <s v="OTC"/>
    <s v="Ankit Bhadu"/>
    <n v="30"/>
    <x v="10"/>
    <s v="GSK India"/>
    <s v="CRO1224A"/>
    <d v="2027-06-01T00:00:00"/>
    <n v="60"/>
    <s v="March"/>
  </r>
  <r>
    <s v="03-13-2025"/>
    <s v="Dr. HC Dahiya"/>
    <s v="Shyam Sunder"/>
    <n v="1"/>
    <x v="11"/>
    <s v="GSK India"/>
    <s v="ENO0125C"/>
    <d v="2027-09-01T00:00:00"/>
    <n v="10"/>
    <s v="March"/>
  </r>
  <r>
    <s v="03-13-2025"/>
    <s v="Dr. Rajesh Batra"/>
    <s v="Sumitra Devi"/>
    <n v="19"/>
    <x v="12"/>
    <s v="Sanofi India"/>
    <s v="BET0425B"/>
    <d v="2028-02-01T00:00:00"/>
    <n v="2280"/>
    <s v="March"/>
  </r>
  <r>
    <s v="03-13-2025"/>
    <s v="Dr. Kamaljeet Sambhyl"/>
    <s v="Sanjay Riwar"/>
    <n v="4"/>
    <x v="13"/>
    <s v="Mankind Pharma"/>
    <s v="ALB0425A"/>
    <d v="2026-12-01T00:00:00"/>
    <n v="80"/>
    <s v="March"/>
  </r>
  <r>
    <s v="03-13-2025"/>
    <s v="Dr. Rajesh Batra"/>
    <s v="Kuldeep Singh"/>
    <n v="3"/>
    <x v="14"/>
    <s v="Pfizer India"/>
    <s v="OXY0125/25"/>
    <d v="2027-05-01T00:00:00"/>
    <n v="90"/>
    <s v="March"/>
  </r>
  <r>
    <s v="03-14-2025"/>
    <s v="Dr. Rajesh Batra"/>
    <s v="Brijlalal Dhaka"/>
    <n v="12"/>
    <x v="15"/>
    <s v="Abbott India"/>
    <s v="ENR1224A"/>
    <d v="2026-08-01T00:00:00"/>
    <n v="480"/>
    <s v="March"/>
  </r>
  <r>
    <s v="03-14-2025"/>
    <s v="Dr. Virender Siwach"/>
    <s v="Chander Bhan"/>
    <n v="10"/>
    <x v="16"/>
    <s v="Sun Pharma"/>
    <s v="IVE0325X"/>
    <d v="2026-07-01T00:00:00"/>
    <n v="500"/>
    <s v="March"/>
  </r>
  <r>
    <s v="03-14-2025"/>
    <s v="Dr. Sameer Tuteja"/>
    <s v="Umesh Kumar"/>
    <n v="29"/>
    <x v="0"/>
    <s v="Cipla"/>
    <s v="PAR0425C"/>
    <d v="2027-11-01T00:00:00"/>
    <n v="58"/>
    <s v="March"/>
  </r>
  <r>
    <s v="03-14-2025"/>
    <s v="Dr. HC Dahiya"/>
    <s v="Pawan Khakhal"/>
    <n v="7"/>
    <x v="1"/>
    <s v="Sun Pharma"/>
    <s v="IBU0425C"/>
    <d v="2027-11-01T00:00:00"/>
    <n v="21"/>
    <s v="March"/>
  </r>
  <r>
    <s v="03-14-2025"/>
    <s v="Dr. Anshul Sehgal"/>
    <s v="Randhir Fageria"/>
    <n v="9"/>
    <x v="2"/>
    <s v="Dr. Reddyâ€™s"/>
    <s v="AMO0225/25"/>
    <d v="2027-03-01T00:00:00"/>
    <n v="72"/>
    <s v="March"/>
  </r>
  <r>
    <s v="03-14-2025"/>
    <s v="OTC"/>
    <s v="Sumit Kumar"/>
    <n v="29"/>
    <x v="3"/>
    <s v="Zydus Cadila"/>
    <s v="CET0425B"/>
    <d v="2027-09-01T00:00:00"/>
    <n v="87"/>
    <s v="March"/>
  </r>
  <r>
    <s v="03-14-2025"/>
    <s v="OTC"/>
    <s v="Umesh Kumar"/>
    <n v="3"/>
    <x v="4"/>
    <s v="Lupin"/>
    <s v="MET0125B"/>
    <d v="2027-06-01T00:00:00"/>
    <n v="12"/>
    <s v="March"/>
  </r>
  <r>
    <s v="03-14-2025"/>
    <s v="Dr. Renu Bansal"/>
    <s v="Shishpal Sharma"/>
    <n v="5"/>
    <x v="5"/>
    <s v="Torrent Pharma"/>
    <s v="AML1224A"/>
    <d v="2027-09-01T00:00:00"/>
    <n v="25"/>
    <s v="March"/>
  </r>
  <r>
    <s v="03-15-2025"/>
    <s v="OTC"/>
    <s v="Yogesh Khicher"/>
    <n v="19"/>
    <x v="6"/>
    <s v="Alkem Laboratories"/>
    <s v="ATE0225X"/>
    <d v="2027-09-01T00:00:00"/>
    <n v="114"/>
    <s v="March"/>
  </r>
  <r>
    <s v="03-15-2025"/>
    <s v="Dr. Geeta Choudhary"/>
    <s v="Tamanna Dhaka"/>
    <n v="9"/>
    <x v="7"/>
    <s v="Cipla"/>
    <s v="SAL0125C"/>
    <d v="2026-09-01T00:00:00"/>
    <n v="36"/>
    <s v="March"/>
  </r>
  <r>
    <s v="03-15-2025"/>
    <s v="OTC"/>
    <s v="Randhir Fageria"/>
    <n v="16"/>
    <x v="8"/>
    <s v="Sun Pharma"/>
    <s v="DOX0325C"/>
    <d v="2026-12-01T00:00:00"/>
    <n v="160"/>
    <s v="March"/>
  </r>
  <r>
    <s v="03-15-2025"/>
    <s v="Dr. Renu Bansal"/>
    <s v="Hari Singh"/>
    <n v="20"/>
    <x v="9"/>
    <s v="Mankind Pharma"/>
    <s v="PAN0325X"/>
    <d v="2026-04-01T00:00:00"/>
    <n v="100"/>
    <s v="March"/>
  </r>
  <r>
    <s v="03-15-2025"/>
    <s v="Dr. Rajesh Batra"/>
    <s v="Naseeb Khakhal"/>
    <n v="26"/>
    <x v="10"/>
    <s v="GSK India"/>
    <s v="CRO0325X"/>
    <d v="2026-06-01T00:00:00"/>
    <n v="52"/>
    <s v="March"/>
  </r>
  <r>
    <s v="03-15-2025"/>
    <s v="Dr. Satbir Khumber"/>
    <s v="Naseeb Khakhal"/>
    <n v="7"/>
    <x v="11"/>
    <s v="GSK India"/>
    <s v="ENO0125B"/>
    <d v="2027-10-01T00:00:00"/>
    <n v="70"/>
    <s v="March"/>
  </r>
  <r>
    <s v="03-15-2025"/>
    <s v="Dr. Manohar Pahuja"/>
    <s v="Amar Burdak"/>
    <n v="10"/>
    <x v="12"/>
    <s v="Sanofi India"/>
    <s v="BET0325B"/>
    <d v="2026-08-01T00:00:00"/>
    <n v="1200"/>
    <s v="March"/>
  </r>
  <r>
    <s v="03-15-2025"/>
    <s v="OTC"/>
    <s v="Santosh Rani"/>
    <n v="18"/>
    <x v="13"/>
    <s v="Mankind Pharma"/>
    <s v="ALB0425A"/>
    <d v="2027-11-01T00:00:00"/>
    <n v="360"/>
    <s v="March"/>
  </r>
  <r>
    <s v="03-16-2025"/>
    <s v="Dr. Sameer Tuteja"/>
    <s v="Shishpal Sharma"/>
    <n v="23"/>
    <x v="14"/>
    <s v="Pfizer India"/>
    <s v="OXY0125X"/>
    <d v="2026-08-01T00:00:00"/>
    <n v="690"/>
    <s v="March"/>
  </r>
  <r>
    <s v="03-16-2025"/>
    <s v="OTC"/>
    <s v="Dinesh Sharma"/>
    <n v="8"/>
    <x v="15"/>
    <s v="Abbott India"/>
    <s v="ENR0225A"/>
    <d v="2026-12-01T00:00:00"/>
    <n v="320"/>
    <s v="March"/>
  </r>
  <r>
    <s v="03-16-2025"/>
    <s v="Dr. Manohar Pahuja"/>
    <s v="Shishpal Sharma"/>
    <n v="30"/>
    <x v="16"/>
    <s v="Sun Pharma"/>
    <s v="IVE0225B"/>
    <d v="2027-11-01T00:00:00"/>
    <n v="1500"/>
    <s v="March"/>
  </r>
  <r>
    <s v="03-16-2025"/>
    <s v="Dr. Virender Siwach"/>
    <s v="Naseeb Khakhal"/>
    <n v="17"/>
    <x v="0"/>
    <s v="Cipla"/>
    <s v="PAR0325B"/>
    <d v="2027-02-01T00:00:00"/>
    <n v="34"/>
    <s v="March"/>
  </r>
  <r>
    <s v="03-16-2025"/>
    <s v="Dr. Satbir Khumber"/>
    <s v="Naseeb Khakhal"/>
    <n v="20"/>
    <x v="1"/>
    <s v="Sun Pharma"/>
    <s v="IBU0325A"/>
    <d v="2026-07-01T00:00:00"/>
    <n v="60"/>
    <s v="March"/>
  </r>
  <r>
    <s v="03-16-2025"/>
    <s v="OTC"/>
    <s v="Santosh Rani"/>
    <n v="10"/>
    <x v="2"/>
    <s v="Dr. Reddyâ€™s"/>
    <s v="AMO1224B"/>
    <d v="2027-03-01T00:00:00"/>
    <n v="80"/>
    <s v="March"/>
  </r>
  <r>
    <s v="03-16-2025"/>
    <s v="OTC"/>
    <s v="Pawan Khakhal"/>
    <n v="10"/>
    <x v="3"/>
    <s v="Zydus Cadila"/>
    <s v="CET0225/25"/>
    <d v="2027-05-01T00:00:00"/>
    <n v="30"/>
    <s v="March"/>
  </r>
  <r>
    <s v="03-16-2025"/>
    <s v="Dr. Ramphal Dhaka"/>
    <s v="Balbir Fageria"/>
    <n v="2"/>
    <x v="4"/>
    <s v="Lupin"/>
    <s v="MET0425B"/>
    <d v="2028-03-01T00:00:00"/>
    <n v="8"/>
    <s v="March"/>
  </r>
  <r>
    <s v="03-17-2025"/>
    <s v="Dr. Satbir Khumber"/>
    <s v="Sanjay Riwar"/>
    <n v="1"/>
    <x v="5"/>
    <s v="Torrent Pharma"/>
    <s v="AML0225C"/>
    <d v="2028-02-01T00:00:00"/>
    <n v="5"/>
    <s v="March"/>
  </r>
  <r>
    <s v="03-17-2025"/>
    <s v="Dr. Satbir Khumber"/>
    <s v="Balbir Fageria"/>
    <n v="19"/>
    <x v="6"/>
    <s v="Alkem Laboratories"/>
    <s v="ATE0225C"/>
    <d v="2028-01-01T00:00:00"/>
    <n v="114"/>
    <s v="March"/>
  </r>
  <r>
    <s v="03-17-2025"/>
    <s v="Dr. Virender Siwach"/>
    <s v="Mohit Chaberwal"/>
    <n v="10"/>
    <x v="7"/>
    <s v="Cipla"/>
    <s v="SAL1224A"/>
    <d v="2026-10-01T00:00:00"/>
    <n v="40"/>
    <s v="March"/>
  </r>
  <r>
    <s v="03-17-2025"/>
    <s v="Dr. HC Dahiya"/>
    <s v="Sanjay Riwar"/>
    <n v="14"/>
    <x v="8"/>
    <s v="Sun Pharma"/>
    <s v="DOX0425/25"/>
    <d v="2026-06-01T00:00:00"/>
    <n v="140"/>
    <s v="March"/>
  </r>
  <r>
    <s v="03-17-2025"/>
    <s v="OTC"/>
    <s v="Brijlalal Dhaka"/>
    <n v="20"/>
    <x v="9"/>
    <s v="Mankind Pharma"/>
    <s v="PAN1224/25"/>
    <d v="2027-10-01T00:00:00"/>
    <n v="100"/>
    <s v="March"/>
  </r>
  <r>
    <s v="03-17-2025"/>
    <s v="Dr. Geeta Choudhary"/>
    <s v="Kuldeep Singh"/>
    <n v="29"/>
    <x v="10"/>
    <s v="GSK India"/>
    <s v="CRO0425A"/>
    <d v="2028-03-01T00:00:00"/>
    <n v="58"/>
    <s v="March"/>
  </r>
  <r>
    <s v="03-17-2025"/>
    <s v="Dr. Satbir Khumber"/>
    <s v="Chander Bhan"/>
    <n v="7"/>
    <x v="11"/>
    <s v="GSK India"/>
    <s v="ENO1224/25"/>
    <d v="2026-12-01T00:00:00"/>
    <n v="70"/>
    <s v="March"/>
  </r>
  <r>
    <s v="03-17-2025"/>
    <s v="OTC"/>
    <s v="Amar Burdak"/>
    <n v="19"/>
    <x v="12"/>
    <s v="Sanofi India"/>
    <s v="BET1224C"/>
    <d v="2026-07-01T00:00:00"/>
    <n v="2280"/>
    <s v="March"/>
  </r>
  <r>
    <s v="03-18-2025"/>
    <s v="Dr. Anshul Sehgal"/>
    <s v="Ramkla Devi"/>
    <n v="18"/>
    <x v="13"/>
    <s v="Mankind Pharma"/>
    <s v="ALB0125B"/>
    <d v="2026-10-01T00:00:00"/>
    <n v="360"/>
    <s v="March"/>
  </r>
  <r>
    <s v="03-18-2025"/>
    <s v="Dr. Vinay Singla"/>
    <s v="Ram Kumar"/>
    <n v="25"/>
    <x v="14"/>
    <s v="Pfizer India"/>
    <s v="OXY0325A"/>
    <d v="2027-02-01T00:00:00"/>
    <n v="750"/>
    <s v="March"/>
  </r>
  <r>
    <s v="03-18-2025"/>
    <s v="Dr. Rajesh Batra"/>
    <s v="Ravi Dhaka"/>
    <n v="1"/>
    <x v="15"/>
    <s v="Abbott India"/>
    <s v="ENR0125A"/>
    <d v="2026-04-01T00:00:00"/>
    <n v="40"/>
    <s v="March"/>
  </r>
  <r>
    <s v="03-18-2025"/>
    <s v="Dr. Anshul Sehgal"/>
    <s v="Ram Kumar"/>
    <n v="18"/>
    <x v="16"/>
    <s v="Sun Pharma"/>
    <s v="IVE0125X"/>
    <d v="2027-10-01T00:00:00"/>
    <n v="900"/>
    <s v="March"/>
  </r>
  <r>
    <s v="03-18-2025"/>
    <s v="Dr. Renu Bansal"/>
    <s v="Sube Ram"/>
    <n v="1"/>
    <x v="0"/>
    <s v="Cipla"/>
    <s v="PAR0425A"/>
    <d v="2026-11-01T00:00:00"/>
    <n v="2"/>
    <s v="March"/>
  </r>
  <r>
    <s v="03-18-2025"/>
    <s v="OTC"/>
    <s v="Sumit Kumar"/>
    <n v="16"/>
    <x v="1"/>
    <s v="Sun Pharma"/>
    <s v="IBU0325B"/>
    <d v="2027-10-01T00:00:00"/>
    <n v="48"/>
    <s v="March"/>
  </r>
  <r>
    <s v="03-18-2025"/>
    <s v="Dr. Manohar Pahuja"/>
    <s v="Baljinder Singh"/>
    <n v="28"/>
    <x v="2"/>
    <s v="Dr. Reddyâ€™s"/>
    <s v="AMO1224A"/>
    <d v="2027-04-01T00:00:00"/>
    <n v="224"/>
    <s v="March"/>
  </r>
  <r>
    <s v="03-18-2025"/>
    <s v="Dr. Renu Bansal"/>
    <s v="Sita Ram"/>
    <n v="23"/>
    <x v="3"/>
    <s v="Zydus Cadila"/>
    <s v="CET0125/25"/>
    <d v="2026-10-01T00:00:00"/>
    <n v="69"/>
    <s v="March"/>
  </r>
  <r>
    <s v="03-19-2025"/>
    <s v="Dr. Amit Narang"/>
    <s v="Umesh Kumar"/>
    <n v="1"/>
    <x v="4"/>
    <s v="Lupin"/>
    <s v="MET1224A"/>
    <d v="2027-11-01T00:00:00"/>
    <n v="4"/>
    <s v="March"/>
  </r>
  <r>
    <s v="03-19-2025"/>
    <s v="Dr. Satbir Khumber"/>
    <s v="Sanjay Riwar"/>
    <n v="17"/>
    <x v="5"/>
    <s v="Torrent Pharma"/>
    <s v="AML0425/25"/>
    <d v="2026-05-01T00:00:00"/>
    <n v="85"/>
    <s v="March"/>
  </r>
  <r>
    <s v="03-19-2025"/>
    <s v="Dr. Ramphal Dhaka"/>
    <s v="Mandeep Kumar"/>
    <n v="7"/>
    <x v="6"/>
    <s v="Alkem Laboratories"/>
    <s v="ATE0225A"/>
    <d v="2026-12-01T00:00:00"/>
    <n v="42"/>
    <s v="March"/>
  </r>
  <r>
    <s v="03-19-2025"/>
    <s v="Dr. Anshul Sehgal"/>
    <s v="Yogesh Khicher"/>
    <n v="7"/>
    <x v="7"/>
    <s v="Cipla"/>
    <s v="SAL0425B"/>
    <d v="2027-03-01T00:00:00"/>
    <n v="28"/>
    <s v="March"/>
  </r>
  <r>
    <s v="03-19-2025"/>
    <s v="Dr. Vinay Singla"/>
    <s v="Kuldeep Singh"/>
    <n v="11"/>
    <x v="8"/>
    <s v="Sun Pharma"/>
    <s v="DOX0225X"/>
    <d v="2027-11-01T00:00:00"/>
    <n v="110"/>
    <s v="March"/>
  </r>
  <r>
    <s v="03-19-2025"/>
    <s v="Dr. Ramphal Dhaka"/>
    <s v="Randhir Fageria"/>
    <n v="24"/>
    <x v="9"/>
    <s v="Mankind Pharma"/>
    <s v="PAN1224X"/>
    <d v="2027-09-01T00:00:00"/>
    <n v="120"/>
    <s v="March"/>
  </r>
  <r>
    <s v="03-19-2025"/>
    <s v="Dr. Manohar Pahuja"/>
    <s v="Manisha Rani"/>
    <n v="6"/>
    <x v="10"/>
    <s v="GSK India"/>
    <s v="CRO0225C"/>
    <d v="2027-05-01T00:00:00"/>
    <n v="12"/>
    <s v="March"/>
  </r>
  <r>
    <s v="03-19-2025"/>
    <s v="Dr. Ramphal Dhaka"/>
    <s v="Ram Kumar"/>
    <n v="21"/>
    <x v="11"/>
    <s v="GSK India"/>
    <s v="ENO0225A"/>
    <d v="2027-06-01T00:00:00"/>
    <n v="210"/>
    <s v="March"/>
  </r>
  <r>
    <s v="03-20-2025"/>
    <s v="Dr. Rajesh Batra"/>
    <s v="Kuldeep Singh"/>
    <n v="8"/>
    <x v="12"/>
    <s v="Sanofi India"/>
    <s v="BET1224B"/>
    <d v="2027-07-01T00:00:00"/>
    <n v="960"/>
    <s v="March"/>
  </r>
  <r>
    <s v="03-20-2025"/>
    <s v="Dr. Amit Narang"/>
    <s v="Ram Kumar"/>
    <n v="29"/>
    <x v="13"/>
    <s v="Mankind Pharma"/>
    <s v="ALB0325X"/>
    <d v="2026-08-01T00:00:00"/>
    <n v="580"/>
    <s v="March"/>
  </r>
  <r>
    <s v="03-20-2025"/>
    <s v="OTC"/>
    <s v="Shyam Sunder"/>
    <n v="12"/>
    <x v="14"/>
    <s v="Pfizer India"/>
    <s v="OXY1224B"/>
    <d v="2025-12-01T00:00:00"/>
    <n v="360"/>
    <s v="March"/>
  </r>
  <r>
    <s v="03-20-2025"/>
    <s v="OTC"/>
    <s v="Raman Dhaka"/>
    <n v="3"/>
    <x v="15"/>
    <s v="Abbott India"/>
    <s v="ENR0125A"/>
    <d v="2026-09-01T00:00:00"/>
    <n v="120"/>
    <s v="March"/>
  </r>
  <r>
    <s v="03-20-2025"/>
    <s v="Dr. Amit Narang"/>
    <s v="Pawan Khakhal"/>
    <n v="8"/>
    <x v="16"/>
    <s v="Sun Pharma"/>
    <s v="IVE0325B"/>
    <d v="2027-06-01T00:00:00"/>
    <n v="400"/>
    <s v="March"/>
  </r>
  <r>
    <s v="03-20-2025"/>
    <s v="Dr. Virender Siwach"/>
    <s v="Sumitra Devi"/>
    <n v="21"/>
    <x v="0"/>
    <s v="Cipla"/>
    <s v="PAR0425C"/>
    <d v="2027-11-01T00:00:00"/>
    <n v="42"/>
    <s v="March"/>
  </r>
  <r>
    <s v="03-20-2025"/>
    <s v="Dr. Kamaljeet Sambhyl"/>
    <s v="Hari Singh"/>
    <n v="14"/>
    <x v="1"/>
    <s v="Sun Pharma"/>
    <s v="IBU0125X"/>
    <d v="2027-06-01T00:00:00"/>
    <n v="42"/>
    <s v="March"/>
  </r>
  <r>
    <s v="03-20-2025"/>
    <s v="Dr. HC Dahiya"/>
    <s v="Brijlalal Dhaka"/>
    <n v="30"/>
    <x v="2"/>
    <s v="Dr. Reddyâ€™s"/>
    <s v="AMO0125A"/>
    <d v="2026-06-01T00:00:00"/>
    <n v="240"/>
    <s v="March"/>
  </r>
  <r>
    <s v="03-21-2025"/>
    <s v="OTC"/>
    <s v="Sahil Chundwal"/>
    <n v="14"/>
    <x v="3"/>
    <s v="Zydus Cadila"/>
    <s v="CET0325A"/>
    <d v="2027-01-01T00:00:00"/>
    <n v="42"/>
    <s v="March"/>
  </r>
  <r>
    <s v="03-21-2025"/>
    <s v="OTC"/>
    <s v="Amit Dhaka"/>
    <n v="19"/>
    <x v="4"/>
    <s v="Lupin"/>
    <s v="MET0325B"/>
    <d v="2026-05-01T00:00:00"/>
    <n v="76"/>
    <s v="March"/>
  </r>
  <r>
    <s v="03-21-2025"/>
    <s v="Dr. Vinay Singla"/>
    <s v="Mohit Chaberwal"/>
    <n v="9"/>
    <x v="5"/>
    <s v="Torrent Pharma"/>
    <s v="AML0125/25"/>
    <d v="2027-04-01T00:00:00"/>
    <n v="45"/>
    <s v="March"/>
  </r>
  <r>
    <s v="03-21-2025"/>
    <s v="OTC"/>
    <s v="Mohit Chaberwal"/>
    <n v="3"/>
    <x v="6"/>
    <s v="Alkem Laboratories"/>
    <s v="ATE0125C"/>
    <d v="2026-10-01T00:00:00"/>
    <n v="18"/>
    <s v="March"/>
  </r>
  <r>
    <s v="03-21-2025"/>
    <s v="Dr. Satbir Khumber"/>
    <s v="Naseeb Khakhal"/>
    <n v="19"/>
    <x v="7"/>
    <s v="Cipla"/>
    <s v="SAL0225/25"/>
    <d v="2026-10-01T00:00:00"/>
    <n v="76"/>
    <s v="March"/>
  </r>
  <r>
    <s v="03-21-2025"/>
    <s v="OTC"/>
    <s v="Ravi Dhaka"/>
    <n v="28"/>
    <x v="8"/>
    <s v="Sun Pharma"/>
    <s v="DOX0125/25"/>
    <d v="2026-09-01T00:00:00"/>
    <n v="280"/>
    <s v="March"/>
  </r>
  <r>
    <s v="03-21-2025"/>
    <s v="OTC"/>
    <s v="Raman Dhaka"/>
    <n v="10"/>
    <x v="9"/>
    <s v="Mankind Pharma"/>
    <s v="PAN0325A"/>
    <d v="2027-11-01T00:00:00"/>
    <n v="50"/>
    <s v="March"/>
  </r>
  <r>
    <s v="03-21-2025"/>
    <s v="OTC"/>
    <s v="Pawan Khakhal"/>
    <n v="19"/>
    <x v="10"/>
    <s v="GSK India"/>
    <s v="CRO1224A"/>
    <d v="2027-08-01T00:00:00"/>
    <n v="38"/>
    <s v="March"/>
  </r>
  <r>
    <s v="03-22-2025"/>
    <s v="Dr. Kamaljeet Sambhyl"/>
    <s v="Mohit Chaberwal"/>
    <n v="26"/>
    <x v="11"/>
    <s v="GSK India"/>
    <s v="ENO0125/25"/>
    <d v="2026-01-01T00:00:00"/>
    <n v="260"/>
    <s v="March"/>
  </r>
  <r>
    <s v="03-22-2025"/>
    <s v="OTC"/>
    <s v="Randhir Fageria"/>
    <n v="16"/>
    <x v="12"/>
    <s v="Sanofi India"/>
    <s v="BET1224X"/>
    <d v="2026-09-01T00:00:00"/>
    <n v="1920"/>
    <s v="March"/>
  </r>
  <r>
    <s v="03-22-2025"/>
    <s v="Dr. Kamaljeet Sambhyl"/>
    <s v="Ramkla Devi"/>
    <n v="4"/>
    <x v="13"/>
    <s v="Mankind Pharma"/>
    <s v="ALB0225X"/>
    <d v="2026-02-01T00:00:00"/>
    <n v="80"/>
    <s v="March"/>
  </r>
  <r>
    <s v="03-22-2025"/>
    <s v="Dr. Anshul Sehgal"/>
    <s v="Amar Burdak"/>
    <n v="16"/>
    <x v="14"/>
    <s v="Pfizer India"/>
    <s v="OXY0325B"/>
    <d v="2027-04-01T00:00:00"/>
    <n v="480"/>
    <s v="March"/>
  </r>
  <r>
    <s v="03-22-2025"/>
    <s v="Dr. Sameer Tuteja"/>
    <s v="Kuldeep Singh"/>
    <n v="14"/>
    <x v="15"/>
    <s v="Abbott India"/>
    <s v="ENR0225B"/>
    <d v="2026-09-01T00:00:00"/>
    <n v="560"/>
    <s v="March"/>
  </r>
  <r>
    <s v="03-22-2025"/>
    <s v="Dr. Satbir Khumber"/>
    <s v="Mandeep Kumar"/>
    <n v="24"/>
    <x v="16"/>
    <s v="Sun Pharma"/>
    <s v="IVE1224A"/>
    <d v="2025-12-01T00:00:00"/>
    <n v="1200"/>
    <s v="March"/>
  </r>
  <r>
    <s v="03-22-2025"/>
    <s v="OTC"/>
    <s v="Mandeep Kumar"/>
    <n v="19"/>
    <x v="0"/>
    <s v="Cipla"/>
    <s v="PAR0225C"/>
    <d v="2026-03-01T00:00:00"/>
    <n v="38"/>
    <s v="March"/>
  </r>
  <r>
    <s v="03-22-2025"/>
    <s v="Dr. HC Dahiya"/>
    <s v="Baljinder Singh"/>
    <n v="8"/>
    <x v="1"/>
    <s v="Sun Pharma"/>
    <s v="IBU0325C"/>
    <d v="2027-03-01T00:00:00"/>
    <n v="24"/>
    <s v="March"/>
  </r>
  <r>
    <s v="03-23-2025"/>
    <s v="Dr. Vinay Singla"/>
    <s v="Mohit Chaberwal"/>
    <n v="9"/>
    <x v="2"/>
    <s v="Dr. Reddyâ€™s"/>
    <s v="AMO1224X"/>
    <d v="2026-09-01T00:00:00"/>
    <n v="72"/>
    <s v="March"/>
  </r>
  <r>
    <s v="03-23-2025"/>
    <s v="OTC"/>
    <s v="Ramkla Devi"/>
    <n v="18"/>
    <x v="3"/>
    <s v="Zydus Cadila"/>
    <s v="CET0325A"/>
    <d v="2028-01-01T00:00:00"/>
    <n v="54"/>
    <s v="March"/>
  </r>
  <r>
    <s v="03-23-2025"/>
    <s v="Dr. Anshul Sehgal"/>
    <s v="Kuldeep Singh"/>
    <n v="17"/>
    <x v="4"/>
    <s v="Lupin"/>
    <s v="MET0125A"/>
    <d v="2026-06-01T00:00:00"/>
    <n v="68"/>
    <s v="March"/>
  </r>
  <r>
    <s v="03-23-2025"/>
    <s v="Dr. Anshul Sehgal"/>
    <s v="Dinesh Sharma"/>
    <n v="3"/>
    <x v="5"/>
    <s v="Torrent Pharma"/>
    <s v="AML0125B"/>
    <d v="2026-09-01T00:00:00"/>
    <n v="15"/>
    <s v="March"/>
  </r>
  <r>
    <s v="03-23-2025"/>
    <s v="Dr. Manohar Pahuja"/>
    <s v="Ravi Dhaka"/>
    <n v="15"/>
    <x v="6"/>
    <s v="Alkem Laboratories"/>
    <s v="ATE0125A"/>
    <d v="2026-07-01T00:00:00"/>
    <n v="90"/>
    <s v="March"/>
  </r>
  <r>
    <s v="03-23-2025"/>
    <s v="OTC"/>
    <s v="Balbir Fageria"/>
    <n v="8"/>
    <x v="7"/>
    <s v="Cipla"/>
    <s v="SAL0325/25"/>
    <d v="2026-04-01T00:00:00"/>
    <n v="32"/>
    <s v="March"/>
  </r>
  <r>
    <s v="03-23-2025"/>
    <s v="OTC"/>
    <s v="Ankit Bhadu"/>
    <n v="11"/>
    <x v="8"/>
    <s v="Sun Pharma"/>
    <s v="DOX0425/25"/>
    <d v="2027-01-01T00:00:00"/>
    <n v="110"/>
    <s v="March"/>
  </r>
  <r>
    <s v="03-23-2025"/>
    <s v="Dr. Virender Siwach"/>
    <s v="Mandeep Kumar"/>
    <n v="23"/>
    <x v="9"/>
    <s v="Mankind Pharma"/>
    <s v="PAN0425A"/>
    <d v="2027-09-01T00:00:00"/>
    <n v="115"/>
    <s v="March"/>
  </r>
  <r>
    <s v="03-24-2025"/>
    <s v="OTC"/>
    <s v="Randhir Fageria"/>
    <n v="8"/>
    <x v="10"/>
    <s v="GSK India"/>
    <s v="CRO0225C"/>
    <d v="2026-11-01T00:00:00"/>
    <n v="16"/>
    <s v="March"/>
  </r>
  <r>
    <s v="03-24-2025"/>
    <s v="Dr. Kamaljeet Sambhyl"/>
    <s v="Tamanna Dhaka"/>
    <n v="21"/>
    <x v="11"/>
    <s v="GSK India"/>
    <s v="ENO1224A"/>
    <d v="2027-10-01T00:00:00"/>
    <n v="210"/>
    <s v="March"/>
  </r>
  <r>
    <s v="03-24-2025"/>
    <s v="Dr. Satbir Khumber"/>
    <s v="Manisha Rani"/>
    <n v="23"/>
    <x v="12"/>
    <s v="Sanofi India"/>
    <s v="BET1224/25"/>
    <d v="2027-08-01T00:00:00"/>
    <n v="2760"/>
    <s v="March"/>
  </r>
  <r>
    <s v="03-24-2025"/>
    <s v="Dr. Amit Narang"/>
    <s v="Sube Ram"/>
    <n v="16"/>
    <x v="13"/>
    <s v="Mankind Pharma"/>
    <s v="ALB0325A"/>
    <d v="2027-05-01T00:00:00"/>
    <n v="320"/>
    <s v="March"/>
  </r>
  <r>
    <s v="03-24-2025"/>
    <s v="Dr. Amit Narang"/>
    <s v="Mohit Chaberwal"/>
    <n v="10"/>
    <x v="14"/>
    <s v="Pfizer India"/>
    <s v="OXY1224X"/>
    <d v="2027-09-01T00:00:00"/>
    <n v="300"/>
    <s v="March"/>
  </r>
  <r>
    <s v="03-24-2025"/>
    <s v="Dr. Sameer Tuteja"/>
    <s v="Naresh Didharia"/>
    <n v="6"/>
    <x v="15"/>
    <s v="Abbott India"/>
    <s v="ENR0225/25"/>
    <d v="2026-08-01T00:00:00"/>
    <n v="240"/>
    <s v="March"/>
  </r>
  <r>
    <s v="03-24-2025"/>
    <s v="Dr. Virender Siwach"/>
    <s v="Shyam Sunder"/>
    <n v="2"/>
    <x v="16"/>
    <s v="Sun Pharma"/>
    <s v="IVE0325B"/>
    <d v="2026-04-01T00:00:00"/>
    <n v="100"/>
    <s v="March"/>
  </r>
  <r>
    <s v="03-24-2025"/>
    <s v="OTC"/>
    <s v="Amar Burdak"/>
    <n v="29"/>
    <x v="0"/>
    <s v="Cipla"/>
    <s v="PAR0325C"/>
    <d v="2026-06-01T00:00:00"/>
    <n v="58"/>
    <s v="March"/>
  </r>
  <r>
    <s v="03-25-2025"/>
    <s v="Dr. Anshul Sehgal"/>
    <s v="Tamanna Dhaka"/>
    <n v="7"/>
    <x v="1"/>
    <s v="Sun Pharma"/>
    <s v="IBU1224C"/>
    <d v="2027-08-01T00:00:00"/>
    <n v="21"/>
    <s v="March"/>
  </r>
  <r>
    <s v="03-25-2025"/>
    <s v="Dr. Kamaljeet Sambhyl"/>
    <s v="Yogesh Khicher"/>
    <n v="4"/>
    <x v="2"/>
    <s v="Dr. Reddyâ€™s"/>
    <s v="AMO1224B"/>
    <d v="2026-10-01T00:00:00"/>
    <n v="32"/>
    <s v="March"/>
  </r>
  <r>
    <s v="03-25-2025"/>
    <s v="Dr. Vinay Singla"/>
    <s v="Amit Dhaka"/>
    <n v="14"/>
    <x v="3"/>
    <s v="Zydus Cadila"/>
    <s v="CET0225X"/>
    <d v="2027-12-01T00:00:00"/>
    <n v="42"/>
    <s v="March"/>
  </r>
  <r>
    <s v="03-25-2025"/>
    <s v="Dr. Virender Siwach"/>
    <s v="Naresh Didharia"/>
    <n v="30"/>
    <x v="4"/>
    <s v="Lupin"/>
    <s v="MET0325A"/>
    <d v="2027-07-01T00:00:00"/>
    <n v="120"/>
    <s v="March"/>
  </r>
  <r>
    <s v="03-25-2025"/>
    <s v="OTC"/>
    <s v="Baljinder Singh"/>
    <n v="24"/>
    <x v="5"/>
    <s v="Torrent Pharma"/>
    <s v="AML0225/25"/>
    <d v="2028-01-01T00:00:00"/>
    <n v="120"/>
    <s v="March"/>
  </r>
  <r>
    <s v="03-25-2025"/>
    <s v="Dr. Anshul Sehgal"/>
    <s v="Radhe Shaym"/>
    <n v="29"/>
    <x v="6"/>
    <s v="Alkem Laboratories"/>
    <s v="ATE0325/25"/>
    <d v="2026-08-01T00:00:00"/>
    <n v="174"/>
    <s v="March"/>
  </r>
  <r>
    <s v="03-25-2025"/>
    <s v="OTC"/>
    <s v="Baljinder Singh"/>
    <n v="10"/>
    <x v="7"/>
    <s v="Cipla"/>
    <s v="SAL0125A"/>
    <d v="2027-11-01T00:00:00"/>
    <n v="40"/>
    <s v="March"/>
  </r>
  <r>
    <s v="03-25-2025"/>
    <s v="Dr. HC Dahiya"/>
    <s v="Tamanna Dhaka"/>
    <n v="15"/>
    <x v="8"/>
    <s v="Sun Pharma"/>
    <s v="DOX0325C"/>
    <d v="2027-06-01T00:00:00"/>
    <n v="150"/>
    <s v="March"/>
  </r>
  <r>
    <s v="03-26-2025"/>
    <s v="Dr. Geeta Choudhary"/>
    <s v="Sita Ram"/>
    <n v="29"/>
    <x v="9"/>
    <s v="Mankind Pharma"/>
    <s v="PAN0325/25"/>
    <d v="2027-02-01T00:00:00"/>
    <n v="145"/>
    <s v="March"/>
  </r>
  <r>
    <s v="03-26-2025"/>
    <s v="OTC"/>
    <s v="Sube Ram"/>
    <n v="18"/>
    <x v="10"/>
    <s v="GSK India"/>
    <s v="CRO0225C"/>
    <d v="2027-04-01T00:00:00"/>
    <n v="36"/>
    <s v="March"/>
  </r>
  <r>
    <s v="03-26-2025"/>
    <s v="Dr. Kamaljeet Sambhyl"/>
    <s v="Ramkla Devi"/>
    <n v="1"/>
    <x v="11"/>
    <s v="GSK India"/>
    <s v="ENO0125/25"/>
    <d v="2026-03-01T00:00:00"/>
    <n v="10"/>
    <s v="March"/>
  </r>
  <r>
    <s v="03-26-2025"/>
    <s v="OTC"/>
    <s v="Manisha Rani"/>
    <n v="6"/>
    <x v="12"/>
    <s v="Sanofi India"/>
    <s v="BET1224A"/>
    <d v="2026-06-01T00:00:00"/>
    <n v="720"/>
    <s v="March"/>
  </r>
  <r>
    <s v="03-26-2025"/>
    <s v="Dr. Kamaljeet Sambhyl"/>
    <s v="Tamanna Dhaka"/>
    <n v="9"/>
    <x v="13"/>
    <s v="Mankind Pharma"/>
    <s v="ALB0325A"/>
    <d v="2027-03-01T00:00:00"/>
    <n v="180"/>
    <s v="March"/>
  </r>
  <r>
    <s v="03-26-2025"/>
    <s v="Dr. Ramphal Dhaka"/>
    <s v="Mandeep Kumar"/>
    <n v="21"/>
    <x v="14"/>
    <s v="Pfizer India"/>
    <s v="OXY0425X"/>
    <d v="2027-12-01T00:00:00"/>
    <n v="630"/>
    <s v="March"/>
  </r>
  <r>
    <s v="03-26-2025"/>
    <s v="OTC"/>
    <s v="Hari Singh"/>
    <n v="9"/>
    <x v="15"/>
    <s v="Abbott India"/>
    <s v="ENR1224A"/>
    <d v="2027-09-01T00:00:00"/>
    <n v="360"/>
    <s v="March"/>
  </r>
  <r>
    <s v="03-26-2025"/>
    <s v="Dr. Renu Bansal"/>
    <s v="Mandeep Kumar"/>
    <n v="17"/>
    <x v="16"/>
    <s v="Sun Pharma"/>
    <s v="IVE0425C"/>
    <d v="2027-03-01T00:00:00"/>
    <n v="850"/>
    <s v="March"/>
  </r>
  <r>
    <s v="03-27-2025"/>
    <s v="Dr. HC Dahiya"/>
    <s v="Tamanna Dhaka"/>
    <n v="4"/>
    <x v="0"/>
    <s v="Cipla"/>
    <s v="PAR1224B"/>
    <d v="2027-08-01T00:00:00"/>
    <n v="8"/>
    <s v="March"/>
  </r>
  <r>
    <s v="03-27-2025"/>
    <s v="Dr. Ramphal Dhaka"/>
    <s v="Mandeep Kumar"/>
    <n v="8"/>
    <x v="1"/>
    <s v="Sun Pharma"/>
    <s v="IBU0125C"/>
    <d v="2026-05-01T00:00:00"/>
    <n v="24"/>
    <s v="March"/>
  </r>
  <r>
    <s v="03-27-2025"/>
    <s v="Dr. Rajesh Batra"/>
    <s v="Sahil Chundwal"/>
    <n v="17"/>
    <x v="2"/>
    <s v="Dr. Reddyâ€™s"/>
    <s v="AMO1224X"/>
    <d v="2027-07-01T00:00:00"/>
    <n v="136"/>
    <s v="March"/>
  </r>
  <r>
    <s v="03-27-2025"/>
    <s v="Dr. Rajesh Batra"/>
    <s v="Ankit Bhadu"/>
    <n v="24"/>
    <x v="3"/>
    <s v="Zydus Cadila"/>
    <s v="CET0225A"/>
    <d v="2027-11-01T00:00:00"/>
    <n v="72"/>
    <s v="March"/>
  </r>
  <r>
    <s v="03-27-2025"/>
    <s v="Dr. Manohar Pahuja"/>
    <s v="Ravi Dhaka"/>
    <n v="3"/>
    <x v="4"/>
    <s v="Lupin"/>
    <s v="MET1224C"/>
    <d v="2026-08-01T00:00:00"/>
    <n v="12"/>
    <s v="March"/>
  </r>
  <r>
    <s v="03-27-2025"/>
    <s v="OTC"/>
    <s v="Ravi Dhaka"/>
    <n v="10"/>
    <x v="5"/>
    <s v="Torrent Pharma"/>
    <s v="AML0225B"/>
    <d v="2026-11-01T00:00:00"/>
    <n v="50"/>
    <s v="March"/>
  </r>
  <r>
    <s v="03-27-2025"/>
    <s v="Dr. Virender Siwach"/>
    <s v="Mandeep Kumar"/>
    <n v="23"/>
    <x v="6"/>
    <s v="Alkem Laboratories"/>
    <s v="ATE0125/25"/>
    <d v="2026-09-01T00:00:00"/>
    <n v="138"/>
    <s v="March"/>
  </r>
  <r>
    <s v="03-27-2025"/>
    <s v="OTC"/>
    <s v="Manisha Rani"/>
    <n v="16"/>
    <x v="7"/>
    <s v="Cipla"/>
    <s v="SAL0425C"/>
    <d v="2026-10-01T00:00:00"/>
    <n v="64"/>
    <s v="March"/>
  </r>
  <r>
    <s v="03-28-2025"/>
    <s v="Dr. Virender Siwach"/>
    <s v="Tamanna Dhaka"/>
    <n v="12"/>
    <x v="8"/>
    <s v="Sun Pharma"/>
    <s v="DOX1224A"/>
    <d v="2027-02-01T00:00:00"/>
    <n v="120"/>
    <s v="March"/>
  </r>
  <r>
    <s v="03-28-2025"/>
    <s v="Dr. Renu Bansal"/>
    <s v="Sumitra Devi"/>
    <n v="16"/>
    <x v="9"/>
    <s v="Mankind Pharma"/>
    <s v="PAN0125/25"/>
    <d v="2026-02-01T00:00:00"/>
    <n v="80"/>
    <s v="March"/>
  </r>
  <r>
    <s v="03-28-2025"/>
    <s v="Dr. Rajesh Batra"/>
    <s v="Shyam Sunder"/>
    <n v="21"/>
    <x v="10"/>
    <s v="GSK India"/>
    <s v="CRO1224/25"/>
    <d v="2027-07-01T00:00:00"/>
    <n v="42"/>
    <s v="March"/>
  </r>
  <r>
    <s v="03-28-2025"/>
    <s v="Dr. Rajesh Batra"/>
    <s v="Sumitra Devi"/>
    <n v="12"/>
    <x v="11"/>
    <s v="GSK India"/>
    <s v="ENO0325A"/>
    <d v="2026-07-01T00:00:00"/>
    <n v="120"/>
    <s v="March"/>
  </r>
  <r>
    <s v="03-28-2025"/>
    <s v="Dr. Vinay Singla"/>
    <s v="Naresh Didharia"/>
    <n v="14"/>
    <x v="12"/>
    <s v="Sanofi India"/>
    <s v="BET0225/25"/>
    <d v="2026-07-01T00:00:00"/>
    <n v="1680"/>
    <s v="March"/>
  </r>
  <r>
    <s v="03-28-2025"/>
    <s v="Dr. Geeta Choudhary"/>
    <s v="Krishan Singh"/>
    <n v="12"/>
    <x v="13"/>
    <s v="Mankind Pharma"/>
    <s v="ALB0125C"/>
    <d v="2026-10-01T00:00:00"/>
    <n v="240"/>
    <s v="March"/>
  </r>
  <r>
    <s v="03-28-2025"/>
    <s v="Dr. Renu Bansal"/>
    <s v="Mandeep Kumar"/>
    <n v="10"/>
    <x v="14"/>
    <s v="Pfizer India"/>
    <s v="OXY0125A"/>
    <d v="2026-09-01T00:00:00"/>
    <n v="300"/>
    <s v="March"/>
  </r>
  <r>
    <s v="03-28-2025"/>
    <s v="Dr. Anshul Sehgal"/>
    <s v="Sumitra Devi"/>
    <n v="19"/>
    <x v="15"/>
    <s v="Abbott India"/>
    <s v="ENR0225C"/>
    <d v="2026-12-01T00:00:00"/>
    <n v="760"/>
    <s v="March"/>
  </r>
  <r>
    <s v="03-29-2025"/>
    <s v="OTC"/>
    <s v="Naresh Didharia"/>
    <n v="2"/>
    <x v="16"/>
    <s v="Sun Pharma"/>
    <s v="IVE0325B"/>
    <d v="2027-12-01T00:00:00"/>
    <n v="100"/>
    <s v="March"/>
  </r>
  <r>
    <s v="03-29-2025"/>
    <s v="OTC"/>
    <s v="Amit Dhaka"/>
    <n v="9"/>
    <x v="0"/>
    <s v="Cipla"/>
    <s v="PAR0225A"/>
    <d v="2026-10-01T00:00:00"/>
    <n v="18"/>
    <s v="March"/>
  </r>
  <r>
    <s v="03-29-2025"/>
    <s v="OTC"/>
    <s v="Sanjay Riwar"/>
    <n v="21"/>
    <x v="1"/>
    <s v="Sun Pharma"/>
    <s v="IBU0325B"/>
    <d v="2027-05-01T00:00:00"/>
    <n v="63"/>
    <s v="March"/>
  </r>
  <r>
    <s v="03-29-2025"/>
    <s v="Dr. Virender Siwach"/>
    <s v="Mohit Chaberwal"/>
    <n v="3"/>
    <x v="2"/>
    <s v="Dr. Reddyâ€™s"/>
    <s v="AMO0225A"/>
    <d v="2027-07-01T00:00:00"/>
    <n v="24"/>
    <s v="March"/>
  </r>
  <r>
    <s v="03-29-2025"/>
    <s v="OTC"/>
    <s v="Radhe Shaym"/>
    <n v="11"/>
    <x v="3"/>
    <s v="Zydus Cadila"/>
    <s v="CET0325B"/>
    <d v="2026-04-01T00:00:00"/>
    <n v="33"/>
    <s v="March"/>
  </r>
  <r>
    <s v="03-29-2025"/>
    <s v="OTC"/>
    <s v="Ravi Dhaka"/>
    <n v="30"/>
    <x v="4"/>
    <s v="Lupin"/>
    <s v="MET0225/25"/>
    <d v="2026-12-01T00:00:00"/>
    <n v="120"/>
    <s v="March"/>
  </r>
  <r>
    <s v="03-29-2025"/>
    <s v="OTC"/>
    <s v="Krishan Singh"/>
    <n v="11"/>
    <x v="5"/>
    <s v="Torrent Pharma"/>
    <s v="AML0225C"/>
    <d v="2027-02-01T00:00:00"/>
    <n v="55"/>
    <s v="March"/>
  </r>
  <r>
    <s v="03-29-2025"/>
    <s v="OTC"/>
    <s v="Randhir Fageria"/>
    <n v="17"/>
    <x v="6"/>
    <s v="Alkem Laboratories"/>
    <s v="ATE1224B"/>
    <d v="2027-07-01T00:00:00"/>
    <n v="102"/>
    <s v="March"/>
  </r>
  <r>
    <s v="03-30-2025"/>
    <s v="Dr. Anshul Sehgal"/>
    <s v="Krishan Singh"/>
    <n v="30"/>
    <x v="7"/>
    <s v="Cipla"/>
    <s v="SAL0325A"/>
    <d v="2026-10-01T00:00:00"/>
    <n v="120"/>
    <s v="March"/>
  </r>
  <r>
    <s v="03-30-2025"/>
    <s v="OTC"/>
    <s v="Balbir Fageria"/>
    <n v="10"/>
    <x v="8"/>
    <s v="Sun Pharma"/>
    <s v="DOX0325C"/>
    <d v="2028-01-01T00:00:00"/>
    <n v="100"/>
    <s v="March"/>
  </r>
  <r>
    <s v="03-30-2025"/>
    <s v="OTC"/>
    <s v="Baljinder Singh"/>
    <n v="13"/>
    <x v="9"/>
    <s v="Mankind Pharma"/>
    <s v="PAN1224X"/>
    <d v="2026-10-01T00:00:00"/>
    <n v="65"/>
    <s v="March"/>
  </r>
  <r>
    <s v="03-30-2025"/>
    <s v="Dr. Kamaljeet Sambhyl"/>
    <s v="Ram Kumar"/>
    <n v="29"/>
    <x v="10"/>
    <s v="GSK India"/>
    <s v="CRO0325B"/>
    <d v="2027-08-01T00:00:00"/>
    <n v="58"/>
    <s v="March"/>
  </r>
  <r>
    <s v="03-30-2025"/>
    <s v="Dr. Renu Bansal"/>
    <s v="Sanjay Riwar"/>
    <n v="2"/>
    <x v="11"/>
    <s v="GSK India"/>
    <s v="ENO0325C"/>
    <d v="2027-02-01T00:00:00"/>
    <n v="20"/>
    <s v="March"/>
  </r>
  <r>
    <s v="03-30-2025"/>
    <s v="Dr. Vinay Singla"/>
    <s v="Amit Dhaka"/>
    <n v="24"/>
    <x v="12"/>
    <s v="Sanofi India"/>
    <s v="BET1224A"/>
    <d v="2027-08-01T00:00:00"/>
    <n v="2880"/>
    <s v="March"/>
  </r>
  <r>
    <s v="03-30-2025"/>
    <s v="Dr. Virender Siwach"/>
    <s v="Krishan Singh"/>
    <n v="25"/>
    <x v="13"/>
    <s v="Mankind Pharma"/>
    <s v="ALB0225/25"/>
    <d v="2027-09-01T00:00:00"/>
    <n v="500"/>
    <s v="March"/>
  </r>
  <r>
    <s v="03-30-2025"/>
    <s v="Dr. Satbir Khumber"/>
    <s v="Naseeb Khakhal"/>
    <n v="23"/>
    <x v="14"/>
    <s v="Pfizer India"/>
    <s v="OXY1224B"/>
    <d v="2027-04-01T00:00:00"/>
    <n v="690"/>
    <s v="March"/>
  </r>
  <r>
    <s v="03-31-2025"/>
    <s v="OTC"/>
    <s v="Ram Kumar"/>
    <n v="6"/>
    <x v="15"/>
    <s v="Abbott India"/>
    <s v="ENR1224/25"/>
    <d v="2027-02-01T00:00:00"/>
    <n v="240"/>
    <s v="March"/>
  </r>
  <r>
    <s v="03-31-2025"/>
    <s v="OTC"/>
    <s v="Yogesh Khicher"/>
    <n v="4"/>
    <x v="16"/>
    <s v="Sun Pharma"/>
    <s v="IVE0325B"/>
    <d v="2026-11-01T00:00:00"/>
    <n v="200"/>
    <s v="March"/>
  </r>
  <r>
    <s v="03-31-2025"/>
    <s v="OTC"/>
    <s v="Tamanna Dhaka"/>
    <n v="30"/>
    <x v="0"/>
    <s v="Cipla"/>
    <s v="PAR0225C"/>
    <d v="2027-09-01T00:00:00"/>
    <n v="60"/>
    <s v="March"/>
  </r>
  <r>
    <s v="03-31-2025"/>
    <s v="OTC"/>
    <s v="Ram Kumar"/>
    <n v="21"/>
    <x v="1"/>
    <s v="Sun Pharma"/>
    <s v="IBU0425X"/>
    <d v="2026-07-01T00:00:00"/>
    <n v="63"/>
    <s v="March"/>
  </r>
  <r>
    <s v="03-31-2025"/>
    <s v="Dr. Rajesh Batra"/>
    <s v="Santosh Rani"/>
    <n v="8"/>
    <x v="2"/>
    <s v="Dr. Reddyâ€™s"/>
    <s v="AMO0125X"/>
    <d v="2027-03-01T00:00:00"/>
    <n v="64"/>
    <s v="March"/>
  </r>
  <r>
    <s v="03-31-2025"/>
    <s v="Dr. HC Dahiya"/>
    <s v="Chander Bhan"/>
    <n v="22"/>
    <x v="3"/>
    <s v="Zydus Cadila"/>
    <s v="CET0325B"/>
    <d v="2027-04-01T00:00:00"/>
    <n v="66"/>
    <s v="March"/>
  </r>
  <r>
    <s v="03-31-2025"/>
    <s v="OTC"/>
    <s v="Sahil Chundwal"/>
    <n v="10"/>
    <x v="4"/>
    <s v="Lupin"/>
    <s v="MET0225/25"/>
    <d v="2026-06-01T00:00:00"/>
    <n v="40"/>
    <s v="March"/>
  </r>
  <r>
    <s v="03-31-2025"/>
    <s v="Dr. Ramphal Dhaka"/>
    <s v="Brijlalal Dhaka"/>
    <n v="22"/>
    <x v="5"/>
    <s v="Torrent Pharma"/>
    <s v="AML1224/25"/>
    <d v="2025-12-01T00:00:00"/>
    <n v="110"/>
    <s v="March"/>
  </r>
  <r>
    <d v="2025-01-04T00:00:00"/>
    <s v="Dr. Rajesh Batra"/>
    <s v="Amit Dhaka"/>
    <n v="18"/>
    <x v="6"/>
    <s v="Alkem Laboratories"/>
    <s v="ATE0425/25"/>
    <d v="2028-02-01T00:00:00"/>
    <n v="108"/>
    <s v="April"/>
  </r>
  <r>
    <d v="2025-01-04T00:00:00"/>
    <s v="Dr. HC Dahiya"/>
    <s v="Mandeep Kumar"/>
    <n v="23"/>
    <x v="7"/>
    <s v="Cipla"/>
    <s v="SAL0325C"/>
    <d v="2027-08-01T00:00:00"/>
    <n v="92"/>
    <s v="April"/>
  </r>
  <r>
    <d v="2025-01-04T00:00:00"/>
    <s v="Dr. Renu Bansal"/>
    <s v="Naseeb Khakhal"/>
    <n v="29"/>
    <x v="8"/>
    <s v="Sun Pharma"/>
    <s v="DOX0325/25"/>
    <d v="2027-12-01T00:00:00"/>
    <n v="290"/>
    <s v="April"/>
  </r>
  <r>
    <d v="2025-01-04T00:00:00"/>
    <s v="Dr. Ramphal Dhaka"/>
    <s v="Mandeep Kumar"/>
    <n v="29"/>
    <x v="9"/>
    <s v="Mankind Pharma"/>
    <s v="PAN0325C"/>
    <d v="2026-11-01T00:00:00"/>
    <n v="145"/>
    <s v="April"/>
  </r>
  <r>
    <d v="2025-01-04T00:00:00"/>
    <s v="Dr. HC Dahiya"/>
    <s v="Kuldeep Singh"/>
    <n v="3"/>
    <x v="10"/>
    <s v="GSK India"/>
    <s v="CRO0225X"/>
    <d v="2027-11-01T00:00:00"/>
    <n v="6"/>
    <s v="April"/>
  </r>
  <r>
    <d v="2025-01-04T00:00:00"/>
    <s v="Dr. Renu Bansal"/>
    <s v="Sube Ram"/>
    <n v="5"/>
    <x v="11"/>
    <s v="GSK India"/>
    <s v="ENO0125X"/>
    <d v="2027-09-01T00:00:00"/>
    <n v="50"/>
    <s v="April"/>
  </r>
  <r>
    <d v="2025-01-04T00:00:00"/>
    <s v="Dr. Renu Bansal"/>
    <s v="Sumit Kumar"/>
    <n v="27"/>
    <x v="12"/>
    <s v="Sanofi India"/>
    <s v="BET0425A"/>
    <d v="2028-01-01T00:00:00"/>
    <n v="3240"/>
    <s v="April"/>
  </r>
  <r>
    <d v="2025-01-04T00:00:00"/>
    <s v="OTC"/>
    <s v="Sahil Chundwal"/>
    <n v="8"/>
    <x v="13"/>
    <s v="Mankind Pharma"/>
    <s v="ALB1224X"/>
    <d v="2027-11-01T00:00:00"/>
    <n v="160"/>
    <s v="April"/>
  </r>
  <r>
    <d v="2025-02-04T00:00:00"/>
    <s v="OTC"/>
    <s v="Randhir Fageria"/>
    <n v="22"/>
    <x v="14"/>
    <s v="Pfizer India"/>
    <s v="OXY0125C"/>
    <d v="2026-01-01T00:00:00"/>
    <n v="660"/>
    <s v="April"/>
  </r>
  <r>
    <d v="2025-02-04T00:00:00"/>
    <s v="Dr. Ramphal Dhaka"/>
    <s v="Shishpal Sharma"/>
    <n v="26"/>
    <x v="15"/>
    <s v="Abbott India"/>
    <s v="ENR0125B"/>
    <d v="2026-08-01T00:00:00"/>
    <n v="1040"/>
    <s v="April"/>
  </r>
  <r>
    <d v="2025-02-04T00:00:00"/>
    <s v="Dr. Sameer Tuteja"/>
    <s v="Sube Ram"/>
    <n v="17"/>
    <x v="16"/>
    <s v="Sun Pharma"/>
    <s v="IVE1224/25"/>
    <d v="2026-03-01T00:00:00"/>
    <n v="850"/>
    <s v="April"/>
  </r>
  <r>
    <d v="2025-02-04T00:00:00"/>
    <s v="Dr. HC Dahiya"/>
    <s v="Krishan Singh"/>
    <n v="27"/>
    <x v="0"/>
    <s v="Cipla"/>
    <s v="PAR0125X"/>
    <d v="2027-08-01T00:00:00"/>
    <n v="54"/>
    <s v="April"/>
  </r>
  <r>
    <d v="2025-02-04T00:00:00"/>
    <s v="OTC"/>
    <s v="Brijlalal Dhaka"/>
    <n v="19"/>
    <x v="1"/>
    <s v="Sun Pharma"/>
    <s v="IBU0425X"/>
    <d v="2028-01-01T00:00:00"/>
    <n v="57"/>
    <s v="April"/>
  </r>
  <r>
    <d v="2025-02-04T00:00:00"/>
    <s v="Dr. Ramphal Dhaka"/>
    <s v="Dinesh Sharma"/>
    <n v="29"/>
    <x v="2"/>
    <s v="Dr. Reddyâ€™s"/>
    <s v="AMO0425A"/>
    <d v="2028-02-01T00:00:00"/>
    <n v="232"/>
    <s v="April"/>
  </r>
  <r>
    <d v="2025-02-04T00:00:00"/>
    <s v="Dr. Geeta Choudhary"/>
    <s v="Shishpal Sharma"/>
    <n v="13"/>
    <x v="3"/>
    <s v="Zydus Cadila"/>
    <s v="CET0425/25"/>
    <d v="2026-12-01T00:00:00"/>
    <n v="39"/>
    <s v="April"/>
  </r>
  <r>
    <d v="2025-02-04T00:00:00"/>
    <s v="OTC"/>
    <s v="Dinesh Sharma"/>
    <n v="18"/>
    <x v="4"/>
    <s v="Lupin"/>
    <s v="MET0125A"/>
    <d v="2026-07-01T00:00:00"/>
    <n v="72"/>
    <s v="April"/>
  </r>
  <r>
    <d v="2025-03-04T00:00:00"/>
    <s v="OTC"/>
    <s v="Hari Singh"/>
    <n v="5"/>
    <x v="5"/>
    <s v="Torrent Pharma"/>
    <s v="AML0425C"/>
    <d v="2026-06-01T00:00:00"/>
    <n v="25"/>
    <s v="April"/>
  </r>
  <r>
    <d v="2025-03-04T00:00:00"/>
    <s v="Dr. Vinay Singla"/>
    <s v="Ankit Bhadu"/>
    <n v="26"/>
    <x v="6"/>
    <s v="Alkem Laboratories"/>
    <s v="ATE1224C"/>
    <d v="2027-02-01T00:00:00"/>
    <n v="156"/>
    <s v="April"/>
  </r>
  <r>
    <d v="2025-03-04T00:00:00"/>
    <s v="OTC"/>
    <s v="Ramkla Devi"/>
    <n v="21"/>
    <x v="7"/>
    <s v="Cipla"/>
    <s v="SAL0125A"/>
    <d v="2027-12-01T00:00:00"/>
    <n v="84"/>
    <s v="April"/>
  </r>
  <r>
    <d v="2025-03-04T00:00:00"/>
    <s v="Dr. Manohar Pahuja"/>
    <s v="Krishan Singh"/>
    <n v="27"/>
    <x v="8"/>
    <s v="Sun Pharma"/>
    <s v="DOX0125A"/>
    <d v="2027-04-01T00:00:00"/>
    <n v="270"/>
    <s v="April"/>
  </r>
  <r>
    <d v="2025-03-04T00:00:00"/>
    <s v="Dr. Manohar Pahuja"/>
    <s v="Raman Dhaka"/>
    <n v="1"/>
    <x v="9"/>
    <s v="Mankind Pharma"/>
    <s v="PAN1224A"/>
    <d v="2026-12-01T00:00:00"/>
    <n v="5"/>
    <s v="April"/>
  </r>
  <r>
    <d v="2025-03-04T00:00:00"/>
    <s v="OTC"/>
    <s v="Dinesh Sharma"/>
    <n v="21"/>
    <x v="10"/>
    <s v="GSK India"/>
    <s v="CRO0225B"/>
    <d v="2026-05-01T00:00:00"/>
    <n v="42"/>
    <s v="April"/>
  </r>
  <r>
    <d v="2025-03-04T00:00:00"/>
    <s v="OTC"/>
    <s v="Krishan Singh"/>
    <n v="10"/>
    <x v="11"/>
    <s v="GSK India"/>
    <s v="ENO0125A"/>
    <d v="2026-06-01T00:00:00"/>
    <n v="100"/>
    <s v="April"/>
  </r>
  <r>
    <d v="2025-03-04T00:00:00"/>
    <s v="Dr. Renu Bansal"/>
    <s v="Santosh Rani"/>
    <n v="17"/>
    <x v="12"/>
    <s v="Sanofi India"/>
    <s v="BET1224/25"/>
    <d v="2026-01-01T00:00:00"/>
    <n v="2040"/>
    <s v="April"/>
  </r>
  <r>
    <d v="2025-04-04T00:00:00"/>
    <s v="Dr. Renu Bansal"/>
    <s v="Sita Ram"/>
    <n v="24"/>
    <x v="13"/>
    <s v="Mankind Pharma"/>
    <s v="ALB0425/25"/>
    <d v="2026-08-01T00:00:00"/>
    <n v="480"/>
    <s v="April"/>
  </r>
  <r>
    <d v="2025-04-04T00:00:00"/>
    <s v="Dr. Anshul Sehgal"/>
    <s v="Ramkla Devi"/>
    <n v="17"/>
    <x v="14"/>
    <s v="Pfizer India"/>
    <s v="OXY0125A"/>
    <d v="2027-04-01T00:00:00"/>
    <n v="510"/>
    <s v="April"/>
  </r>
  <r>
    <d v="2025-04-04T00:00:00"/>
    <s v="OTC"/>
    <s v="Kuldeep Singh"/>
    <n v="13"/>
    <x v="15"/>
    <s v="Abbott India"/>
    <s v="ENR0225C"/>
    <d v="2026-12-01T00:00:00"/>
    <n v="520"/>
    <s v="April"/>
  </r>
  <r>
    <d v="2025-04-04T00:00:00"/>
    <s v="Dr. Satbir Khumber"/>
    <s v="Sita Ram"/>
    <n v="24"/>
    <x v="16"/>
    <s v="Sun Pharma"/>
    <s v="IVE1224A"/>
    <d v="2027-02-01T00:00:00"/>
    <n v="1200"/>
    <s v="April"/>
  </r>
  <r>
    <d v="2025-04-04T00:00:00"/>
    <s v="OTC"/>
    <s v="Ram Kumar"/>
    <n v="21"/>
    <x v="0"/>
    <s v="Cipla"/>
    <s v="PAR0225A"/>
    <d v="2026-04-01T00:00:00"/>
    <n v="42"/>
    <s v="April"/>
  </r>
  <r>
    <d v="2025-04-04T00:00:00"/>
    <s v="Dr. Kamaljeet Sambhyl"/>
    <s v="Sanjay Riwar"/>
    <n v="11"/>
    <x v="1"/>
    <s v="Sun Pharma"/>
    <s v="IBU0225A"/>
    <d v="2027-09-01T00:00:00"/>
    <n v="33"/>
    <s v="April"/>
  </r>
  <r>
    <d v="2025-04-04T00:00:00"/>
    <s v="OTC"/>
    <s v="Amar Burdak"/>
    <n v="30"/>
    <x v="2"/>
    <s v="Dr. Reddyâ€™s"/>
    <s v="AMO0325C"/>
    <d v="2027-08-01T00:00:00"/>
    <n v="240"/>
    <s v="April"/>
  </r>
  <r>
    <d v="2025-04-04T00:00:00"/>
    <s v="Dr. Renu Bansal"/>
    <s v="Dinesh Sharma"/>
    <n v="23"/>
    <x v="3"/>
    <s v="Zydus Cadila"/>
    <s v="CET0325B"/>
    <d v="2027-01-01T00:00:00"/>
    <n v="69"/>
    <s v="April"/>
  </r>
  <r>
    <d v="2025-05-04T00:00:00"/>
    <s v="Dr. HC Dahiya"/>
    <s v="Yogesh Khicher"/>
    <n v="29"/>
    <x v="4"/>
    <s v="Lupin"/>
    <s v="MET1224B"/>
    <d v="2026-06-01T00:00:00"/>
    <n v="116"/>
    <s v="April"/>
  </r>
  <r>
    <d v="2025-05-04T00:00:00"/>
    <s v="OTC"/>
    <s v="Dinesh Sharma"/>
    <n v="29"/>
    <x v="5"/>
    <s v="Torrent Pharma"/>
    <s v="AML0125B"/>
    <d v="2027-03-01T00:00:00"/>
    <n v="145"/>
    <s v="April"/>
  </r>
  <r>
    <d v="2025-05-04T00:00:00"/>
    <s v="OTC"/>
    <s v="Sita Ram"/>
    <n v="15"/>
    <x v="6"/>
    <s v="Alkem Laboratories"/>
    <s v="ATE0425/25"/>
    <d v="2028-01-01T00:00:00"/>
    <n v="90"/>
    <s v="April"/>
  </r>
  <r>
    <d v="2025-05-04T00:00:00"/>
    <s v="Dr. Manohar Pahuja"/>
    <s v="Raman Dhaka"/>
    <n v="6"/>
    <x v="7"/>
    <s v="Cipla"/>
    <s v="SAL0225B"/>
    <d v="2026-10-01T00:00:00"/>
    <n v="24"/>
    <s v="April"/>
  </r>
  <r>
    <d v="2025-05-04T00:00:00"/>
    <s v="OTC"/>
    <s v="Randhir Fageria"/>
    <n v="23"/>
    <x v="8"/>
    <s v="Sun Pharma"/>
    <s v="DOX0125B"/>
    <d v="2027-04-01T00:00:00"/>
    <n v="230"/>
    <s v="April"/>
  </r>
  <r>
    <d v="2025-05-04T00:00:00"/>
    <s v="OTC"/>
    <s v="Pawan Khakhal"/>
    <n v="6"/>
    <x v="9"/>
    <s v="Mankind Pharma"/>
    <s v="PAN0325X"/>
    <d v="2026-03-01T00:00:00"/>
    <n v="30"/>
    <s v="April"/>
  </r>
  <r>
    <d v="2025-05-04T00:00:00"/>
    <s v="OTC"/>
    <s v="Mandeep Kumar"/>
    <n v="13"/>
    <x v="10"/>
    <s v="GSK India"/>
    <s v="CRO0125B"/>
    <d v="2026-08-01T00:00:00"/>
    <n v="26"/>
    <s v="April"/>
  </r>
  <r>
    <d v="2025-05-04T00:00:00"/>
    <s v="Dr. Vinay Singla"/>
    <s v="Naseeb Khakhal"/>
    <n v="3"/>
    <x v="11"/>
    <s v="GSK India"/>
    <s v="ENO1224X"/>
    <d v="2027-01-01T00:00:00"/>
    <n v="30"/>
    <s v="April"/>
  </r>
  <r>
    <d v="2025-06-04T00:00:00"/>
    <s v="OTC"/>
    <s v="Pawan Khakhal"/>
    <n v="23"/>
    <x v="12"/>
    <s v="Sanofi India"/>
    <s v="BET0325B"/>
    <d v="2027-02-01T00:00:00"/>
    <n v="2760"/>
    <s v="April"/>
  </r>
  <r>
    <d v="2025-06-04T00:00:00"/>
    <s v="OTC"/>
    <s v="Manisha Rani"/>
    <n v="2"/>
    <x v="13"/>
    <s v="Mankind Pharma"/>
    <s v="ALB1224/25"/>
    <d v="2027-06-01T00:00:00"/>
    <n v="40"/>
    <s v="April"/>
  </r>
  <r>
    <d v="2025-06-04T00:00:00"/>
    <s v="Dr. Kamaljeet Sambhyl"/>
    <s v="Umesh Kumar"/>
    <n v="8"/>
    <x v="14"/>
    <s v="Pfizer India"/>
    <s v="OXY0325A"/>
    <d v="2028-02-01T00:00:00"/>
    <n v="240"/>
    <s v="April"/>
  </r>
  <r>
    <d v="2025-06-04T00:00:00"/>
    <s v="OTC"/>
    <s v="Sube Ram"/>
    <n v="26"/>
    <x v="15"/>
    <s v="Abbott India"/>
    <s v="ENR0225C"/>
    <d v="2026-02-01T00:00:00"/>
    <n v="1040"/>
    <s v="April"/>
  </r>
  <r>
    <d v="2025-06-04T00:00:00"/>
    <s v="OTC"/>
    <s v="Krishan Singh"/>
    <n v="14"/>
    <x v="16"/>
    <s v="Sun Pharma"/>
    <s v="IVE0425/25"/>
    <d v="2027-11-01T00:00:00"/>
    <n v="700"/>
    <s v="April"/>
  </r>
  <r>
    <d v="2025-06-04T00:00:00"/>
    <s v="Dr. Vinay Singla"/>
    <s v="Shishpal Sharma"/>
    <n v="20"/>
    <x v="0"/>
    <s v="Cipla"/>
    <s v="PAR0125B"/>
    <d v="2027-02-01T00:00:00"/>
    <n v="40"/>
    <s v="April"/>
  </r>
  <r>
    <d v="2025-06-04T00:00:00"/>
    <s v="Dr. Manohar Pahuja"/>
    <s v="Ankit Bhadu"/>
    <n v="28"/>
    <x v="1"/>
    <s v="Sun Pharma"/>
    <s v="IBU0125X"/>
    <d v="2027-01-01T00:00:00"/>
    <n v="84"/>
    <s v="April"/>
  </r>
  <r>
    <d v="2025-06-04T00:00:00"/>
    <s v="OTC"/>
    <s v="Hari Singh"/>
    <n v="28"/>
    <x v="2"/>
    <s v="Dr. Reddyâ€™s"/>
    <s v="AMO0125A"/>
    <d v="2026-03-01T00:00:00"/>
    <n v="224"/>
    <s v="April"/>
  </r>
  <r>
    <d v="2025-07-04T00:00:00"/>
    <s v="Dr. Rajesh Batra"/>
    <s v="Sanjay Riwar"/>
    <n v="14"/>
    <x v="3"/>
    <s v="Zydus Cadila"/>
    <s v="CET0125B"/>
    <d v="2027-12-01T00:00:00"/>
    <n v="42"/>
    <s v="April"/>
  </r>
  <r>
    <d v="2025-07-04T00:00:00"/>
    <s v="OTC"/>
    <s v="Santosh Rani"/>
    <n v="11"/>
    <x v="4"/>
    <s v="Lupin"/>
    <s v="MET1224A"/>
    <d v="2027-11-01T00:00:00"/>
    <n v="44"/>
    <s v="April"/>
  </r>
  <r>
    <d v="2025-07-04T00:00:00"/>
    <s v="Dr. HC Dahiya"/>
    <s v="Krishan Singh"/>
    <n v="22"/>
    <x v="5"/>
    <s v="Torrent Pharma"/>
    <s v="AML0325X"/>
    <d v="2027-10-01T00:00:00"/>
    <n v="110"/>
    <s v="April"/>
  </r>
  <r>
    <d v="2025-07-04T00:00:00"/>
    <s v="Dr. Renu Bansal"/>
    <s v="Umesh Kumar"/>
    <n v="1"/>
    <x v="6"/>
    <s v="Alkem Laboratories"/>
    <s v="ATE0225C"/>
    <d v="2026-04-01T00:00:00"/>
    <n v="6"/>
    <s v="April"/>
  </r>
  <r>
    <d v="2025-07-04T00:00:00"/>
    <s v="OTC"/>
    <s v="Shyam Sunder"/>
    <n v="23"/>
    <x v="7"/>
    <s v="Cipla"/>
    <s v="SAL1224/25"/>
    <d v="2026-06-01T00:00:00"/>
    <n v="92"/>
    <s v="April"/>
  </r>
  <r>
    <d v="2025-07-04T00:00:00"/>
    <s v="Dr. Sameer Tuteja"/>
    <s v="Randhir Fageria"/>
    <n v="3"/>
    <x v="8"/>
    <s v="Sun Pharma"/>
    <s v="DOX0125B"/>
    <d v="2027-03-01T00:00:00"/>
    <n v="30"/>
    <s v="April"/>
  </r>
  <r>
    <d v="2025-07-04T00:00:00"/>
    <s v="Dr. Ramphal Dhaka"/>
    <s v="Umesh Kumar"/>
    <n v="30"/>
    <x v="9"/>
    <s v="Mankind Pharma"/>
    <s v="PAN0125/25"/>
    <d v="2027-08-01T00:00:00"/>
    <n v="150"/>
    <s v="April"/>
  </r>
  <r>
    <d v="2025-07-04T00:00:00"/>
    <s v="Dr. Sameer Tuteja"/>
    <s v="Raman Dhaka"/>
    <n v="25"/>
    <x v="10"/>
    <s v="GSK India"/>
    <s v="CRO0425C"/>
    <d v="2026-09-01T00:00:00"/>
    <n v="50"/>
    <s v="April"/>
  </r>
  <r>
    <d v="2025-08-04T00:00:00"/>
    <s v="Dr. Kamaljeet Sambhyl"/>
    <s v="Pawan Khakhal"/>
    <n v="20"/>
    <x v="11"/>
    <s v="GSK India"/>
    <s v="ENO1224X"/>
    <d v="2026-07-01T00:00:00"/>
    <n v="200"/>
    <s v="April"/>
  </r>
  <r>
    <d v="2025-08-04T00:00:00"/>
    <s v="Dr. Ramphal Dhaka"/>
    <s v="Brijlalal Dhaka"/>
    <n v="17"/>
    <x v="12"/>
    <s v="Sanofi India"/>
    <s v="BET0125X"/>
    <d v="2027-01-01T00:00:00"/>
    <n v="2040"/>
    <s v="April"/>
  </r>
  <r>
    <d v="2025-08-04T00:00:00"/>
    <s v="Dr. Satbir Khumber"/>
    <s v="Raman Dhaka"/>
    <n v="23"/>
    <x v="13"/>
    <s v="Mankind Pharma"/>
    <s v="ALB0225X"/>
    <d v="2027-09-01T00:00:00"/>
    <n v="460"/>
    <s v="April"/>
  </r>
  <r>
    <d v="2025-08-04T00:00:00"/>
    <s v="Dr. Virender Siwach"/>
    <s v="Santosh Rani"/>
    <n v="6"/>
    <x v="14"/>
    <s v="Pfizer India"/>
    <s v="OXY0125X"/>
    <d v="2026-01-01T00:00:00"/>
    <n v="180"/>
    <s v="April"/>
  </r>
  <r>
    <d v="2025-08-04T00:00:00"/>
    <s v="Dr. HC Dahiya"/>
    <s v="Naseeb Khakhal"/>
    <n v="10"/>
    <x v="15"/>
    <s v="Abbott India"/>
    <s v="ENR0225A"/>
    <d v="2026-11-01T00:00:00"/>
    <n v="400"/>
    <s v="April"/>
  </r>
  <r>
    <d v="2025-08-04T00:00:00"/>
    <s v="Dr. Kamaljeet Sambhyl"/>
    <s v="Sita Ram"/>
    <n v="5"/>
    <x v="16"/>
    <s v="Sun Pharma"/>
    <s v="IVE0425X"/>
    <d v="2026-11-01T00:00:00"/>
    <n v="250"/>
    <s v="April"/>
  </r>
  <r>
    <d v="2025-08-04T00:00:00"/>
    <s v="OTC"/>
    <s v="Umesh Kumar"/>
    <n v="19"/>
    <x v="0"/>
    <s v="Cipla"/>
    <s v="PAR0225B"/>
    <d v="2027-02-01T00:00:00"/>
    <n v="38"/>
    <s v="April"/>
  </r>
  <r>
    <d v="2025-08-04T00:00:00"/>
    <s v="Dr. Kamaljeet Sambhyl"/>
    <s v="Brijlalal Dhaka"/>
    <n v="13"/>
    <x v="1"/>
    <s v="Sun Pharma"/>
    <s v="IBU0325B"/>
    <d v="2026-09-01T00:00:00"/>
    <n v="39"/>
    <s v="April"/>
  </r>
  <r>
    <d v="2025-09-04T00:00:00"/>
    <s v="OTC"/>
    <s v="Mandeep Kumar"/>
    <n v="1"/>
    <x v="2"/>
    <s v="Dr. Reddyâ€™s"/>
    <s v="AMO0425B"/>
    <d v="2026-07-01T00:00:00"/>
    <n v="8"/>
    <s v="April"/>
  </r>
  <r>
    <d v="2025-09-04T00:00:00"/>
    <s v="OTC"/>
    <s v="Umesh Kumar"/>
    <n v="20"/>
    <x v="3"/>
    <s v="Zydus Cadila"/>
    <s v="CET0125A"/>
    <d v="2027-02-01T00:00:00"/>
    <n v="60"/>
    <s v="April"/>
  </r>
  <r>
    <d v="2025-09-04T00:00:00"/>
    <s v="OTC"/>
    <s v="Kuldeep Singh"/>
    <n v="21"/>
    <x v="4"/>
    <s v="Lupin"/>
    <s v="MET1224A"/>
    <d v="2027-07-01T00:00:00"/>
    <n v="84"/>
    <s v="April"/>
  </r>
  <r>
    <d v="2025-09-04T00:00:00"/>
    <s v="OTC"/>
    <s v="Yogesh Khicher"/>
    <n v="23"/>
    <x v="5"/>
    <s v="Torrent Pharma"/>
    <s v="AML1224/25"/>
    <d v="2027-01-01T00:00:00"/>
    <n v="115"/>
    <s v="April"/>
  </r>
  <r>
    <d v="2025-09-04T00:00:00"/>
    <s v="OTC"/>
    <s v="Mandeep Kumar"/>
    <n v="29"/>
    <x v="6"/>
    <s v="Alkem Laboratories"/>
    <s v="ATE0125C"/>
    <d v="2027-07-01T00:00:00"/>
    <n v="174"/>
    <s v="April"/>
  </r>
  <r>
    <d v="2025-09-04T00:00:00"/>
    <s v="Dr. Geeta Choudhary"/>
    <s v="Ram Kumar"/>
    <n v="20"/>
    <x v="7"/>
    <s v="Cipla"/>
    <s v="SAL0225X"/>
    <d v="2026-04-01T00:00:00"/>
    <n v="80"/>
    <s v="April"/>
  </r>
  <r>
    <d v="2025-09-04T00:00:00"/>
    <s v="Dr. Anshul Sehgal"/>
    <s v="Sita Ram"/>
    <n v="10"/>
    <x v="8"/>
    <s v="Sun Pharma"/>
    <s v="DOX1224A"/>
    <d v="2026-01-01T00:00:00"/>
    <n v="100"/>
    <s v="April"/>
  </r>
  <r>
    <d v="2025-09-04T00:00:00"/>
    <s v="OTC"/>
    <s v="Yogesh Khicher"/>
    <n v="6"/>
    <x v="9"/>
    <s v="Mankind Pharma"/>
    <s v="PAN0125B"/>
    <d v="2027-07-01T00:00:00"/>
    <n v="30"/>
    <s v="April"/>
  </r>
  <r>
    <d v="2025-10-04T00:00:00"/>
    <s v="Dr. HC Dahiya"/>
    <s v="Mandeep Kumar"/>
    <n v="12"/>
    <x v="10"/>
    <s v="GSK India"/>
    <s v="CRO0425C"/>
    <d v="2026-11-01T00:00:00"/>
    <n v="24"/>
    <s v="April"/>
  </r>
  <r>
    <d v="2025-10-04T00:00:00"/>
    <s v="Dr. Kamaljeet Sambhyl"/>
    <s v="Naseeb Khakhal"/>
    <n v="26"/>
    <x v="11"/>
    <s v="GSK India"/>
    <s v="ENO1224X"/>
    <d v="2026-02-01T00:00:00"/>
    <n v="260"/>
    <s v="April"/>
  </r>
  <r>
    <d v="2025-10-04T00:00:00"/>
    <s v="OTC"/>
    <s v="Sumit Kumar"/>
    <n v="27"/>
    <x v="12"/>
    <s v="Sanofi India"/>
    <s v="BET0125C"/>
    <d v="2026-12-01T00:00:00"/>
    <n v="3240"/>
    <s v="April"/>
  </r>
  <r>
    <d v="2025-10-04T00:00:00"/>
    <s v="Dr. Renu Bansal"/>
    <s v="Naresh Didharia"/>
    <n v="3"/>
    <x v="13"/>
    <s v="Mankind Pharma"/>
    <s v="ALB0325X"/>
    <d v="2026-08-01T00:00:00"/>
    <n v="60"/>
    <s v="April"/>
  </r>
  <r>
    <d v="2025-10-04T00:00:00"/>
    <s v="Dr. Virender Siwach"/>
    <s v="Kuldeep Singh"/>
    <n v="17"/>
    <x v="14"/>
    <s v="Pfizer India"/>
    <s v="OXY0125A"/>
    <d v="2026-04-01T00:00:00"/>
    <n v="510"/>
    <s v="April"/>
  </r>
  <r>
    <d v="2025-10-04T00:00:00"/>
    <s v="Dr. Ramphal Dhaka"/>
    <s v="Tamanna Dhaka"/>
    <n v="14"/>
    <x v="15"/>
    <s v="Abbott India"/>
    <s v="ENR0425X"/>
    <d v="2028-01-01T00:00:00"/>
    <n v="560"/>
    <s v="April"/>
  </r>
  <r>
    <d v="2025-10-04T00:00:00"/>
    <s v="OTC"/>
    <s v="Balbir Fageria"/>
    <n v="13"/>
    <x v="16"/>
    <s v="Sun Pharma"/>
    <s v="IVE0225B"/>
    <d v="2027-08-01T00:00:00"/>
    <n v="650"/>
    <s v="April"/>
  </r>
  <r>
    <d v="2025-10-04T00:00:00"/>
    <s v="Dr. HC Dahiya"/>
    <s v="Sumit Kumar"/>
    <n v="2"/>
    <x v="0"/>
    <s v="Cipla"/>
    <s v="PAR0125A"/>
    <d v="2026-05-01T00:00:00"/>
    <n v="4"/>
    <s v="April"/>
  </r>
  <r>
    <d v="2025-11-04T00:00:00"/>
    <s v="Dr. Anshul Sehgal"/>
    <s v="Shishpal Sharma"/>
    <n v="17"/>
    <x v="1"/>
    <s v="Sun Pharma"/>
    <s v="IBU0225/25"/>
    <d v="2026-10-01T00:00:00"/>
    <n v="51"/>
    <s v="April"/>
  </r>
  <r>
    <d v="2025-11-04T00:00:00"/>
    <s v="Dr. Ramphal Dhaka"/>
    <s v="Shyam Sunder"/>
    <n v="28"/>
    <x v="2"/>
    <s v="Dr. Reddyâ€™s"/>
    <s v="AMO0125/25"/>
    <d v="2026-12-01T00:00:00"/>
    <n v="224"/>
    <s v="April"/>
  </r>
  <r>
    <d v="2025-11-04T00:00:00"/>
    <s v="Dr. Manohar Pahuja"/>
    <s v="Tamanna Dhaka"/>
    <n v="30"/>
    <x v="3"/>
    <s v="Zydus Cadila"/>
    <s v="CET1224C"/>
    <d v="2027-10-01T00:00:00"/>
    <n v="90"/>
    <s v="April"/>
  </r>
  <r>
    <d v="2025-11-04T00:00:00"/>
    <s v="Dr. Geeta Choudhary"/>
    <s v="Sumit Kumar"/>
    <n v="29"/>
    <x v="4"/>
    <s v="Lupin"/>
    <s v="MET1224C"/>
    <d v="2026-06-01T00:00:00"/>
    <n v="116"/>
    <s v="April"/>
  </r>
  <r>
    <d v="2025-11-04T00:00:00"/>
    <s v="Dr. Renu Bansal"/>
    <s v="Brijlalal Dhaka"/>
    <n v="19"/>
    <x v="5"/>
    <s v="Torrent Pharma"/>
    <s v="AML1224X"/>
    <d v="2026-09-01T00:00:00"/>
    <n v="95"/>
    <s v="April"/>
  </r>
  <r>
    <d v="2025-11-04T00:00:00"/>
    <s v="OTC"/>
    <s v="Sumit Kumar"/>
    <n v="3"/>
    <x v="6"/>
    <s v="Alkem Laboratories"/>
    <s v="ATE0425X"/>
    <d v="2027-12-01T00:00:00"/>
    <n v="18"/>
    <s v="April"/>
  </r>
  <r>
    <d v="2025-11-04T00:00:00"/>
    <s v="Dr. Geeta Choudhary"/>
    <s v="Sanjay Riwar"/>
    <n v="6"/>
    <x v="7"/>
    <s v="Cipla"/>
    <s v="SAL0325X"/>
    <d v="2026-10-01T00:00:00"/>
    <n v="24"/>
    <s v="April"/>
  </r>
  <r>
    <d v="2025-11-04T00:00:00"/>
    <s v="Dr. Vinay Singla"/>
    <s v="Kuldeep Singh"/>
    <n v="21"/>
    <x v="8"/>
    <s v="Sun Pharma"/>
    <s v="DOX0125C"/>
    <d v="2027-10-01T00:00:00"/>
    <n v="210"/>
    <s v="April"/>
  </r>
  <r>
    <d v="2025-12-04T00:00:00"/>
    <s v="OTC"/>
    <s v="Ramkla Devi"/>
    <n v="21"/>
    <x v="9"/>
    <s v="Mankind Pharma"/>
    <s v="PAN0125/25"/>
    <d v="2026-02-01T00:00:00"/>
    <n v="105"/>
    <s v="April"/>
  </r>
  <r>
    <d v="2025-12-04T00:00:00"/>
    <s v="Dr. Sameer Tuteja"/>
    <s v="Chander Bhan"/>
    <n v="16"/>
    <x v="10"/>
    <s v="GSK India"/>
    <s v="CRO0425X"/>
    <d v="2027-10-01T00:00:00"/>
    <n v="32"/>
    <s v="April"/>
  </r>
  <r>
    <d v="2025-12-04T00:00:00"/>
    <s v="Dr. Ramphal Dhaka"/>
    <s v="Umesh Kumar"/>
    <n v="11"/>
    <x v="11"/>
    <s v="GSK India"/>
    <s v="ENO0425C"/>
    <d v="2027-09-01T00:00:00"/>
    <n v="110"/>
    <s v="April"/>
  </r>
  <r>
    <d v="2025-12-04T00:00:00"/>
    <s v="Dr. Ramphal Dhaka"/>
    <s v="Raman Dhaka"/>
    <n v="19"/>
    <x v="12"/>
    <s v="Sanofi India"/>
    <s v="BET0325X"/>
    <d v="2027-10-01T00:00:00"/>
    <n v="2280"/>
    <s v="April"/>
  </r>
  <r>
    <d v="2025-12-04T00:00:00"/>
    <s v="Dr. Amit Narang"/>
    <s v="Yogesh Khicher"/>
    <n v="12"/>
    <x v="13"/>
    <s v="Mankind Pharma"/>
    <s v="ALB0125X"/>
    <d v="2026-10-01T00:00:00"/>
    <n v="240"/>
    <s v="April"/>
  </r>
  <r>
    <d v="2025-12-04T00:00:00"/>
    <s v="OTC"/>
    <s v="Sita Ram"/>
    <n v="3"/>
    <x v="14"/>
    <s v="Pfizer India"/>
    <s v="OXY0225X"/>
    <d v="2027-03-01T00:00:00"/>
    <n v="90"/>
    <s v="April"/>
  </r>
  <r>
    <d v="2025-12-04T00:00:00"/>
    <s v="Dr. Rajesh Batra"/>
    <s v="Amit Dhaka"/>
    <n v="4"/>
    <x v="15"/>
    <s v="Abbott India"/>
    <s v="ENR0225/25"/>
    <d v="2026-10-01T00:00:00"/>
    <n v="160"/>
    <s v="April"/>
  </r>
  <r>
    <d v="2025-12-04T00:00:00"/>
    <s v="Dr. Satbir Khumber"/>
    <s v="Baljinder Singh"/>
    <n v="3"/>
    <x v="16"/>
    <s v="Sun Pharma"/>
    <s v="IVE0325/25"/>
    <d v="2027-08-01T00:00:00"/>
    <n v="150"/>
    <s v="April"/>
  </r>
  <r>
    <s v="04-13-2025"/>
    <s v="Dr. Vinay Singla"/>
    <s v="Sumit Kumar"/>
    <n v="11"/>
    <x v="0"/>
    <s v="Cipla"/>
    <s v="PAR0225B"/>
    <d v="2026-03-01T00:00:00"/>
    <n v="22"/>
    <s v="April"/>
  </r>
  <r>
    <s v="04-13-2025"/>
    <s v="OTC"/>
    <s v="Umesh Kumar"/>
    <n v="26"/>
    <x v="1"/>
    <s v="Sun Pharma"/>
    <s v="IBU0325C"/>
    <d v="2026-08-01T00:00:00"/>
    <n v="78"/>
    <s v="April"/>
  </r>
  <r>
    <s v="04-13-2025"/>
    <s v="OTC"/>
    <s v="Raman Dhaka"/>
    <n v="23"/>
    <x v="2"/>
    <s v="Dr. Reddyâ€™s"/>
    <s v="AMO0125C"/>
    <d v="2027-04-01T00:00:00"/>
    <n v="184"/>
    <s v="April"/>
  </r>
  <r>
    <s v="04-13-2025"/>
    <s v="OTC"/>
    <s v="Mandeep Kumar"/>
    <n v="19"/>
    <x v="3"/>
    <s v="Zydus Cadila"/>
    <s v="CET0125B"/>
    <d v="2027-09-01T00:00:00"/>
    <n v="57"/>
    <s v="April"/>
  </r>
  <r>
    <s v="04-13-2025"/>
    <s v="Dr. Geeta Choudhary"/>
    <s v="Dinesh Sharma"/>
    <n v="12"/>
    <x v="4"/>
    <s v="Lupin"/>
    <s v="MET0425X"/>
    <d v="2027-05-01T00:00:00"/>
    <n v="48"/>
    <s v="April"/>
  </r>
  <r>
    <s v="04-13-2025"/>
    <s v="Dr. Amit Narang"/>
    <s v="Brijlalal Dhaka"/>
    <n v="8"/>
    <x v="5"/>
    <s v="Torrent Pharma"/>
    <s v="AML1224A"/>
    <d v="2026-12-01T00:00:00"/>
    <n v="40"/>
    <s v="April"/>
  </r>
  <r>
    <s v="04-13-2025"/>
    <s v="Dr. Sameer Tuteja"/>
    <s v="Raman Dhaka"/>
    <n v="3"/>
    <x v="6"/>
    <s v="Alkem Laboratories"/>
    <s v="ATE0325C"/>
    <d v="2026-12-01T00:00:00"/>
    <n v="18"/>
    <s v="April"/>
  </r>
  <r>
    <s v="04-13-2025"/>
    <s v="OTC"/>
    <s v="Sahil Chundwal"/>
    <n v="21"/>
    <x v="7"/>
    <s v="Cipla"/>
    <s v="SAL0425X"/>
    <d v="2027-07-01T00:00:00"/>
    <n v="84"/>
    <s v="April"/>
  </r>
  <r>
    <s v="04-14-2025"/>
    <s v="Dr. Renu Bansal"/>
    <s v="Krishan Singh"/>
    <n v="5"/>
    <x v="8"/>
    <s v="Sun Pharma"/>
    <s v="DOX0425/25"/>
    <d v="2027-11-01T00:00:00"/>
    <n v="50"/>
    <s v="April"/>
  </r>
  <r>
    <s v="04-14-2025"/>
    <s v="Dr. Vinay Singla"/>
    <s v="Umesh Kumar"/>
    <n v="11"/>
    <x v="9"/>
    <s v="Mankind Pharma"/>
    <s v="PAN0325A"/>
    <d v="2026-03-01T00:00:00"/>
    <n v="55"/>
    <s v="April"/>
  </r>
  <r>
    <s v="04-14-2025"/>
    <s v="OTC"/>
    <s v="Sahil Chundwal"/>
    <n v="11"/>
    <x v="10"/>
    <s v="GSK India"/>
    <s v="CRO1224X"/>
    <d v="2027-04-01T00:00:00"/>
    <n v="22"/>
    <s v="April"/>
  </r>
  <r>
    <s v="04-14-2025"/>
    <s v="Dr. Anshul Sehgal"/>
    <s v="Tamanna Dhaka"/>
    <n v="17"/>
    <x v="11"/>
    <s v="GSK India"/>
    <s v="ENO0325C"/>
    <d v="2027-07-01T00:00:00"/>
    <n v="170"/>
    <s v="April"/>
  </r>
  <r>
    <s v="04-14-2025"/>
    <s v="Dr. HC Dahiya"/>
    <s v="Sita Ram"/>
    <n v="14"/>
    <x v="12"/>
    <s v="Sanofi India"/>
    <s v="BET0425X"/>
    <d v="2027-05-01T00:00:00"/>
    <n v="1680"/>
    <s v="April"/>
  </r>
  <r>
    <s v="04-14-2025"/>
    <s v="Dr. HC Dahiya"/>
    <s v="Sita Ram"/>
    <n v="5"/>
    <x v="13"/>
    <s v="Mankind Pharma"/>
    <s v="ALB0125/25"/>
    <d v="2027-05-01T00:00:00"/>
    <n v="100"/>
    <s v="April"/>
  </r>
  <r>
    <s v="04-14-2025"/>
    <s v="OTC"/>
    <s v="Tamanna Dhaka"/>
    <n v="27"/>
    <x v="14"/>
    <s v="Pfizer India"/>
    <s v="OXY0325/25"/>
    <d v="2026-05-01T00:00:00"/>
    <n v="810"/>
    <s v="April"/>
  </r>
  <r>
    <s v="04-14-2025"/>
    <s v="Dr. Rajesh Batra"/>
    <s v="Manisha Rani"/>
    <n v="24"/>
    <x v="15"/>
    <s v="Abbott India"/>
    <s v="ENR0125B"/>
    <d v="2026-05-01T00:00:00"/>
    <n v="960"/>
    <s v="April"/>
  </r>
  <r>
    <s v="04-15-2025"/>
    <s v="Dr. Virender Siwach"/>
    <s v="Dinesh Sharma"/>
    <n v="10"/>
    <x v="16"/>
    <s v="Sun Pharma"/>
    <s v="IVE0325A"/>
    <d v="2026-11-01T00:00:00"/>
    <n v="500"/>
    <s v="April"/>
  </r>
  <r>
    <s v="04-15-2025"/>
    <s v="OTC"/>
    <s v="Mandeep Kumar"/>
    <n v="15"/>
    <x v="0"/>
    <s v="Cipla"/>
    <s v="PAR0225X"/>
    <d v="2027-09-01T00:00:00"/>
    <n v="30"/>
    <s v="April"/>
  </r>
  <r>
    <s v="04-15-2025"/>
    <s v="Dr. Sameer Tuteja"/>
    <s v="Raman Dhaka"/>
    <n v="10"/>
    <x v="1"/>
    <s v="Sun Pharma"/>
    <s v="IBU0425C"/>
    <d v="2027-06-01T00:00:00"/>
    <n v="30"/>
    <s v="April"/>
  </r>
  <r>
    <s v="04-15-2025"/>
    <s v="OTC"/>
    <s v="Hari Singh"/>
    <n v="23"/>
    <x v="2"/>
    <s v="Dr. Reddyâ€™s"/>
    <s v="AMO0225A"/>
    <d v="2026-08-01T00:00:00"/>
    <n v="184"/>
    <s v="April"/>
  </r>
  <r>
    <s v="04-15-2025"/>
    <s v="Dr. Virender Siwach"/>
    <s v="Naresh Didharia"/>
    <n v="27"/>
    <x v="3"/>
    <s v="Zydus Cadila"/>
    <s v="CET0325B"/>
    <d v="2026-12-01T00:00:00"/>
    <n v="81"/>
    <s v="April"/>
  </r>
  <r>
    <s v="04-15-2025"/>
    <s v="Dr. Anshul Sehgal"/>
    <s v="Amar Burdak"/>
    <n v="7"/>
    <x v="4"/>
    <s v="Lupin"/>
    <s v="MET0125A"/>
    <d v="2027-09-01T00:00:00"/>
    <n v="28"/>
    <s v="April"/>
  </r>
  <r>
    <s v="04-15-2025"/>
    <s v="Dr. Kamaljeet Sambhyl"/>
    <s v="Krishan Singh"/>
    <n v="22"/>
    <x v="5"/>
    <s v="Torrent Pharma"/>
    <s v="AML0125/25"/>
    <d v="2027-06-01T00:00:00"/>
    <n v="110"/>
    <s v="April"/>
  </r>
  <r>
    <s v="04-15-2025"/>
    <s v="Dr. Rajesh Batra"/>
    <s v="Amar Burdak"/>
    <n v="18"/>
    <x v="6"/>
    <s v="Alkem Laboratories"/>
    <s v="ATE0125A"/>
    <d v="2026-12-01T00:00:00"/>
    <n v="108"/>
    <s v="April"/>
  </r>
  <r>
    <s v="04-16-2025"/>
    <s v="OTC"/>
    <s v="Santosh Rani"/>
    <n v="14"/>
    <x v="7"/>
    <s v="Cipla"/>
    <s v="SAL0325/25"/>
    <d v="2027-05-01T00:00:00"/>
    <n v="56"/>
    <s v="April"/>
  </r>
  <r>
    <s v="04-16-2025"/>
    <s v="Dr. Virender Siwach"/>
    <s v="Krishan Singh"/>
    <n v="29"/>
    <x v="8"/>
    <s v="Sun Pharma"/>
    <s v="DOX0125/25"/>
    <d v="2027-08-01T00:00:00"/>
    <n v="290"/>
    <s v="April"/>
  </r>
  <r>
    <s v="04-16-2025"/>
    <s v="Dr. Renu Bansal"/>
    <s v="Sita Ram"/>
    <n v="18"/>
    <x v="9"/>
    <s v="Mankind Pharma"/>
    <s v="PAN0125A"/>
    <d v="2027-09-01T00:00:00"/>
    <n v="90"/>
    <s v="April"/>
  </r>
  <r>
    <s v="04-16-2025"/>
    <s v="Dr. Geeta Choudhary"/>
    <s v="Manisha Rani"/>
    <n v="10"/>
    <x v="10"/>
    <s v="GSK India"/>
    <s v="CRO0425/25"/>
    <d v="2027-06-01T00:00:00"/>
    <n v="20"/>
    <s v="April"/>
  </r>
  <r>
    <s v="04-16-2025"/>
    <s v="OTC"/>
    <s v="Yogesh Khicher"/>
    <n v="13"/>
    <x v="11"/>
    <s v="GSK India"/>
    <s v="ENO0125X"/>
    <d v="2027-06-01T00:00:00"/>
    <n v="130"/>
    <s v="April"/>
  </r>
  <r>
    <s v="04-16-2025"/>
    <s v="Dr. Renu Bansal"/>
    <s v="Hari Singh"/>
    <n v="15"/>
    <x v="12"/>
    <s v="Sanofi India"/>
    <s v="BET0125A"/>
    <d v="2027-11-01T00:00:00"/>
    <n v="1800"/>
    <s v="April"/>
  </r>
  <r>
    <s v="04-16-2025"/>
    <s v="Dr. Geeta Choudhary"/>
    <s v="Santosh Rani"/>
    <n v="5"/>
    <x v="13"/>
    <s v="Mankind Pharma"/>
    <s v="ALB0425B"/>
    <d v="2026-11-01T00:00:00"/>
    <n v="100"/>
    <s v="April"/>
  </r>
  <r>
    <s v="04-16-2025"/>
    <s v="Dr. Anshul Sehgal"/>
    <s v="Krishan Singh"/>
    <n v="26"/>
    <x v="14"/>
    <s v="Pfizer India"/>
    <s v="OXY0325X"/>
    <d v="2026-05-01T00:00:00"/>
    <n v="780"/>
    <s v="April"/>
  </r>
  <r>
    <s v="04-17-2025"/>
    <s v="Dr. Amit Narang"/>
    <s v="Dinesh Sharma"/>
    <n v="11"/>
    <x v="15"/>
    <s v="Abbott India"/>
    <s v="ENR0225/25"/>
    <d v="2026-09-01T00:00:00"/>
    <n v="440"/>
    <s v="April"/>
  </r>
  <r>
    <s v="04-17-2025"/>
    <s v="Dr. Manohar Pahuja"/>
    <s v="Krishan Singh"/>
    <n v="5"/>
    <x v="16"/>
    <s v="Sun Pharma"/>
    <s v="IVE0125X"/>
    <d v="2027-10-01T00:00:00"/>
    <n v="250"/>
    <s v="April"/>
  </r>
  <r>
    <s v="04-17-2025"/>
    <s v="OTC"/>
    <s v="Manisha Rani"/>
    <n v="23"/>
    <x v="0"/>
    <s v="Cipla"/>
    <s v="PAR0325/25"/>
    <d v="2027-12-01T00:00:00"/>
    <n v="46"/>
    <s v="April"/>
  </r>
  <r>
    <s v="04-17-2025"/>
    <s v="Dr. Anshul Sehgal"/>
    <s v="Randhir Fageria"/>
    <n v="20"/>
    <x v="1"/>
    <s v="Sun Pharma"/>
    <s v="IBU0325X"/>
    <d v="2026-10-01T00:00:00"/>
    <n v="60"/>
    <s v="April"/>
  </r>
  <r>
    <s v="04-17-2025"/>
    <s v="Dr. Geeta Choudhary"/>
    <s v="Sahil Chundwal"/>
    <n v="18"/>
    <x v="2"/>
    <s v="Dr. Reddyâ€™s"/>
    <s v="AMO0325B"/>
    <d v="2026-08-01T00:00:00"/>
    <n v="144"/>
    <s v="April"/>
  </r>
  <r>
    <s v="04-17-2025"/>
    <s v="OTC"/>
    <s v="Randhir Fageria"/>
    <n v="7"/>
    <x v="3"/>
    <s v="Zydus Cadila"/>
    <s v="CET0425B"/>
    <d v="2027-06-01T00:00:00"/>
    <n v="21"/>
    <s v="April"/>
  </r>
  <r>
    <s v="04-17-2025"/>
    <s v="Dr. Vinay Singla"/>
    <s v="Tamanna Dhaka"/>
    <n v="24"/>
    <x v="4"/>
    <s v="Lupin"/>
    <s v="MET0325A"/>
    <d v="2027-09-01T00:00:00"/>
    <n v="96"/>
    <s v="April"/>
  </r>
  <r>
    <s v="04-17-2025"/>
    <s v="Dr. Anshul Sehgal"/>
    <s v="Shishpal Sharma"/>
    <n v="12"/>
    <x v="5"/>
    <s v="Torrent Pharma"/>
    <s v="AML0225/25"/>
    <d v="2026-09-01T00:00:00"/>
    <n v="60"/>
    <s v="April"/>
  </r>
  <r>
    <s v="04-18-2025"/>
    <s v="Dr. Kamaljeet Sambhyl"/>
    <s v="Mandeep Kumar"/>
    <n v="23"/>
    <x v="6"/>
    <s v="Alkem Laboratories"/>
    <s v="ATE0225A"/>
    <d v="2027-05-01T00:00:00"/>
    <n v="138"/>
    <s v="April"/>
  </r>
  <r>
    <s v="04-18-2025"/>
    <s v="Dr. Renu Bansal"/>
    <s v="Randhir Fageria"/>
    <n v="25"/>
    <x v="7"/>
    <s v="Cipla"/>
    <s v="SAL0225B"/>
    <d v="2027-07-01T00:00:00"/>
    <n v="100"/>
    <s v="April"/>
  </r>
  <r>
    <s v="04-18-2025"/>
    <s v="Dr. HC Dahiya"/>
    <s v="Ravi Dhaka"/>
    <n v="11"/>
    <x v="8"/>
    <s v="Sun Pharma"/>
    <s v="DOX0225A"/>
    <d v="2026-11-01T00:00:00"/>
    <n v="110"/>
    <s v="April"/>
  </r>
  <r>
    <s v="04-18-2025"/>
    <s v="Dr. Rajesh Batra"/>
    <s v="Mohit Chaberwal"/>
    <n v="16"/>
    <x v="9"/>
    <s v="Mankind Pharma"/>
    <s v="PAN1224X"/>
    <d v="2027-11-01T00:00:00"/>
    <n v="80"/>
    <s v="April"/>
  </r>
  <r>
    <s v="04-18-2025"/>
    <s v="Dr. Anshul Sehgal"/>
    <s v="Baljinder Singh"/>
    <n v="25"/>
    <x v="10"/>
    <s v="GSK India"/>
    <s v="CRO0425X"/>
    <d v="2027-02-01T00:00:00"/>
    <n v="50"/>
    <s v="April"/>
  </r>
  <r>
    <s v="04-18-2025"/>
    <s v="Dr. Manohar Pahuja"/>
    <s v="Umesh Kumar"/>
    <n v="9"/>
    <x v="11"/>
    <s v="GSK India"/>
    <s v="ENO0325X"/>
    <d v="2026-08-01T00:00:00"/>
    <n v="90"/>
    <s v="April"/>
  </r>
  <r>
    <s v="04-18-2025"/>
    <s v="Dr. Geeta Choudhary"/>
    <s v="Kuldeep Singh"/>
    <n v="13"/>
    <x v="12"/>
    <s v="Sanofi India"/>
    <s v="BET0325A"/>
    <d v="2026-03-01T00:00:00"/>
    <n v="1560"/>
    <s v="April"/>
  </r>
  <r>
    <s v="04-18-2025"/>
    <s v="OTC"/>
    <s v="Shishpal Sharma"/>
    <n v="2"/>
    <x v="13"/>
    <s v="Mankind Pharma"/>
    <s v="ALB0325A"/>
    <d v="2027-12-01T00:00:00"/>
    <n v="40"/>
    <s v="April"/>
  </r>
  <r>
    <s v="04-19-2025"/>
    <s v="Dr. Virender Siwach"/>
    <s v="Santosh Rani"/>
    <n v="1"/>
    <x v="14"/>
    <s v="Pfizer India"/>
    <s v="OXY0325X"/>
    <d v="2027-05-01T00:00:00"/>
    <n v="30"/>
    <s v="April"/>
  </r>
  <r>
    <s v="04-19-2025"/>
    <s v="Dr. Geeta Choudhary"/>
    <s v="Kuldeep Singh"/>
    <n v="17"/>
    <x v="15"/>
    <s v="Abbott India"/>
    <s v="ENR0225C"/>
    <d v="2027-07-01T00:00:00"/>
    <n v="680"/>
    <s v="April"/>
  </r>
  <r>
    <s v="04-19-2025"/>
    <s v="OTC"/>
    <s v="Dinesh Sharma"/>
    <n v="9"/>
    <x v="16"/>
    <s v="Sun Pharma"/>
    <s v="IVE0225C"/>
    <d v="2027-05-01T00:00:00"/>
    <n v="450"/>
    <s v="April"/>
  </r>
  <r>
    <s v="04-19-2025"/>
    <s v="Dr. Ramphal Dhaka"/>
    <s v="Baljinder Singh"/>
    <n v="6"/>
    <x v="0"/>
    <s v="Cipla"/>
    <s v="PAR0425A"/>
    <d v="2027-07-01T00:00:00"/>
    <n v="12"/>
    <s v="April"/>
  </r>
  <r>
    <s v="04-19-2025"/>
    <s v="Dr. HC Dahiya"/>
    <s v="Amar Burdak"/>
    <n v="9"/>
    <x v="1"/>
    <s v="Sun Pharma"/>
    <s v="IBU0425B"/>
    <d v="2027-08-01T00:00:00"/>
    <n v="27"/>
    <s v="April"/>
  </r>
  <r>
    <s v="04-19-2025"/>
    <s v="Dr. Satbir Khumber"/>
    <s v="Sube Ram"/>
    <n v="22"/>
    <x v="2"/>
    <s v="Dr. Reddyâ€™s"/>
    <s v="AMO0325X"/>
    <d v="2026-06-01T00:00:00"/>
    <n v="176"/>
    <s v="April"/>
  </r>
  <r>
    <s v="04-19-2025"/>
    <s v="Dr. Sameer Tuteja"/>
    <s v="Ramkla Devi"/>
    <n v="6"/>
    <x v="3"/>
    <s v="Zydus Cadila"/>
    <s v="CET0125B"/>
    <d v="2027-01-01T00:00:00"/>
    <n v="18"/>
    <s v="April"/>
  </r>
  <r>
    <s v="04-19-2025"/>
    <s v="Dr. Anshul Sehgal"/>
    <s v="Mohit Chaberwal"/>
    <n v="13"/>
    <x v="4"/>
    <s v="Lupin"/>
    <s v="MET0325A"/>
    <d v="2028-02-01T00:00:00"/>
    <n v="52"/>
    <s v="April"/>
  </r>
  <r>
    <s v="04-20-2025"/>
    <s v="OTC"/>
    <s v="Brijlalal Dhaka"/>
    <n v="19"/>
    <x v="5"/>
    <s v="Torrent Pharma"/>
    <s v="AML0225A"/>
    <d v="2027-01-01T00:00:00"/>
    <n v="95"/>
    <s v="April"/>
  </r>
  <r>
    <s v="04-20-2025"/>
    <s v="OTC"/>
    <s v="Amit Dhaka"/>
    <n v="25"/>
    <x v="6"/>
    <s v="Alkem Laboratories"/>
    <s v="ATE0125X"/>
    <d v="2027-04-01T00:00:00"/>
    <n v="150"/>
    <s v="April"/>
  </r>
  <r>
    <s v="04-20-2025"/>
    <s v="OTC"/>
    <s v="Sahil Chundwal"/>
    <n v="21"/>
    <x v="7"/>
    <s v="Cipla"/>
    <s v="SAL0325A"/>
    <d v="2026-07-01T00:00:00"/>
    <n v="84"/>
    <s v="April"/>
  </r>
  <r>
    <s v="04-20-2025"/>
    <s v="Dr. Amit Narang"/>
    <s v="Baljinder Singh"/>
    <n v="11"/>
    <x v="8"/>
    <s v="Sun Pharma"/>
    <s v="DOX1224/25"/>
    <d v="2026-06-01T00:00:00"/>
    <n v="110"/>
    <s v="April"/>
  </r>
  <r>
    <s v="04-20-2025"/>
    <s v="Dr. Rajesh Batra"/>
    <s v="Shishpal Sharma"/>
    <n v="22"/>
    <x v="9"/>
    <s v="Mankind Pharma"/>
    <s v="PAN1224B"/>
    <d v="2026-02-01T00:00:00"/>
    <n v="110"/>
    <s v="April"/>
  </r>
  <r>
    <s v="04-20-2025"/>
    <s v="OTC"/>
    <s v="Dinesh Sharma"/>
    <n v="9"/>
    <x v="10"/>
    <s v="GSK India"/>
    <s v="CRO0425C"/>
    <d v="2026-09-01T00:00:00"/>
    <n v="18"/>
    <s v="April"/>
  </r>
  <r>
    <s v="04-20-2025"/>
    <s v="Dr. HC Dahiya"/>
    <s v="Sumitra Devi"/>
    <n v="2"/>
    <x v="11"/>
    <s v="GSK India"/>
    <s v="ENO1224X"/>
    <d v="2026-04-01T00:00:00"/>
    <n v="20"/>
    <s v="April"/>
  </r>
  <r>
    <s v="04-20-2025"/>
    <s v="OTC"/>
    <s v="Sumit Kumar"/>
    <n v="4"/>
    <x v="12"/>
    <s v="Sanofi India"/>
    <s v="BET1224/25"/>
    <d v="2026-05-01T00:00:00"/>
    <n v="480"/>
    <s v="April"/>
  </r>
  <r>
    <s v="04-21-2025"/>
    <s v="Dr. Satbir Khumber"/>
    <s v="Pawan Khakhal"/>
    <n v="25"/>
    <x v="13"/>
    <s v="Mankind Pharma"/>
    <s v="ALB0425/25"/>
    <d v="2028-03-01T00:00:00"/>
    <n v="500"/>
    <s v="April"/>
  </r>
  <r>
    <s v="04-21-2025"/>
    <s v="Dr. Virender Siwach"/>
    <s v="Balbir Fageria"/>
    <n v="3"/>
    <x v="14"/>
    <s v="Pfizer India"/>
    <s v="OXY0125X"/>
    <d v="2026-08-01T00:00:00"/>
    <n v="90"/>
    <s v="April"/>
  </r>
  <r>
    <s v="04-21-2025"/>
    <s v="Dr. Rajesh Batra"/>
    <s v="Mohit Chaberwal"/>
    <n v="24"/>
    <x v="15"/>
    <s v="Abbott India"/>
    <s v="ENR0225C"/>
    <d v="2026-11-01T00:00:00"/>
    <n v="960"/>
    <s v="April"/>
  </r>
  <r>
    <s v="04-21-2025"/>
    <s v="Dr. Ramphal Dhaka"/>
    <s v="Sahil Chundwal"/>
    <n v="15"/>
    <x v="16"/>
    <s v="Sun Pharma"/>
    <s v="IVE0425X"/>
    <d v="2027-09-01T00:00:00"/>
    <n v="750"/>
    <s v="April"/>
  </r>
  <r>
    <s v="04-21-2025"/>
    <s v="Dr. HC Dahiya"/>
    <s v="Randhir Fageria"/>
    <n v="14"/>
    <x v="0"/>
    <s v="Cipla"/>
    <s v="PAR0325/25"/>
    <d v="2026-11-01T00:00:00"/>
    <n v="28"/>
    <s v="April"/>
  </r>
  <r>
    <s v="04-21-2025"/>
    <s v="Dr. Amit Narang"/>
    <s v="Naseeb Khakhal"/>
    <n v="19"/>
    <x v="1"/>
    <s v="Sun Pharma"/>
    <s v="IBU0125X"/>
    <d v="2026-05-01T00:00:00"/>
    <n v="57"/>
    <s v="April"/>
  </r>
  <r>
    <s v="04-21-2025"/>
    <s v="Dr. Renu Bansal"/>
    <s v="Amar Burdak"/>
    <n v="23"/>
    <x v="2"/>
    <s v="Dr. Reddyâ€™s"/>
    <s v="AMO0425C"/>
    <d v="2026-09-01T00:00:00"/>
    <n v="184"/>
    <s v="April"/>
  </r>
  <r>
    <s v="04-21-2025"/>
    <s v="Dr. HC Dahiya"/>
    <s v="Amit Dhaka"/>
    <n v="23"/>
    <x v="3"/>
    <s v="Zydus Cadila"/>
    <s v="CET0325/25"/>
    <d v="2028-02-01T00:00:00"/>
    <n v="69"/>
    <s v="April"/>
  </r>
  <r>
    <s v="04-22-2025"/>
    <s v="Dr. HC Dahiya"/>
    <s v="Amit Dhaka"/>
    <n v="30"/>
    <x v="4"/>
    <s v="Lupin"/>
    <s v="MET0125A"/>
    <d v="2027-09-01T00:00:00"/>
    <n v="120"/>
    <s v="April"/>
  </r>
  <r>
    <s v="04-22-2025"/>
    <s v="Dr. Virender Siwach"/>
    <s v="Randhir Fageria"/>
    <n v="17"/>
    <x v="5"/>
    <s v="Torrent Pharma"/>
    <s v="AML0125/25"/>
    <d v="2027-03-01T00:00:00"/>
    <n v="85"/>
    <s v="April"/>
  </r>
  <r>
    <s v="04-22-2025"/>
    <s v="Dr. Anshul Sehgal"/>
    <s v="Ram Kumar"/>
    <n v="22"/>
    <x v="6"/>
    <s v="Alkem Laboratories"/>
    <s v="ATE0225C"/>
    <d v="2026-07-01T00:00:00"/>
    <n v="132"/>
    <s v="April"/>
  </r>
  <r>
    <s v="04-22-2025"/>
    <s v="Dr. HC Dahiya"/>
    <s v="Ram Kumar"/>
    <n v="19"/>
    <x v="7"/>
    <s v="Cipla"/>
    <s v="SAL1224B"/>
    <d v="2026-06-01T00:00:00"/>
    <n v="76"/>
    <s v="April"/>
  </r>
  <r>
    <s v="04-22-2025"/>
    <s v="Dr. Ramphal Dhaka"/>
    <s v="Kuldeep Singh"/>
    <n v="22"/>
    <x v="8"/>
    <s v="Sun Pharma"/>
    <s v="DOX0225A"/>
    <d v="2028-01-01T00:00:00"/>
    <n v="220"/>
    <s v="April"/>
  </r>
  <r>
    <s v="04-22-2025"/>
    <s v="OTC"/>
    <s v="Pawan Khakhal"/>
    <n v="5"/>
    <x v="9"/>
    <s v="Mankind Pharma"/>
    <s v="PAN1224A"/>
    <d v="2027-06-01T00:00:00"/>
    <n v="25"/>
    <s v="April"/>
  </r>
  <r>
    <s v="04-22-2025"/>
    <s v="OTC"/>
    <s v="Ravi Dhaka"/>
    <n v="14"/>
    <x v="10"/>
    <s v="GSK India"/>
    <s v="CRO0425X"/>
    <d v="2027-04-01T00:00:00"/>
    <n v="28"/>
    <s v="April"/>
  </r>
  <r>
    <s v="04-22-2025"/>
    <s v="Dr. Amit Narang"/>
    <s v="Ramkla Devi"/>
    <n v="5"/>
    <x v="11"/>
    <s v="GSK India"/>
    <s v="ENO1224/25"/>
    <d v="2026-01-01T00:00:00"/>
    <n v="50"/>
    <s v="April"/>
  </r>
  <r>
    <s v="04-23-2025"/>
    <s v="Dr. Anshul Sehgal"/>
    <s v="Ramkla Devi"/>
    <n v="18"/>
    <x v="12"/>
    <s v="Sanofi India"/>
    <s v="BET0125/25"/>
    <d v="2027-08-01T00:00:00"/>
    <n v="2160"/>
    <s v="April"/>
  </r>
  <r>
    <s v="04-23-2025"/>
    <s v="Dr. Manohar Pahuja"/>
    <s v="Yogesh Khicher"/>
    <n v="22"/>
    <x v="13"/>
    <s v="Mankind Pharma"/>
    <s v="ALB0325B"/>
    <d v="2028-01-01T00:00:00"/>
    <n v="440"/>
    <s v="April"/>
  </r>
  <r>
    <s v="04-23-2025"/>
    <s v="OTC"/>
    <s v="Santosh Rani"/>
    <n v="10"/>
    <x v="14"/>
    <s v="Pfizer India"/>
    <s v="OXY0425C"/>
    <d v="2027-12-01T00:00:00"/>
    <n v="300"/>
    <s v="April"/>
  </r>
  <r>
    <s v="04-23-2025"/>
    <s v="Dr. Renu Bansal"/>
    <s v="Pawan Khakhal"/>
    <n v="12"/>
    <x v="15"/>
    <s v="Abbott India"/>
    <s v="ENR0325/25"/>
    <d v="2026-09-01T00:00:00"/>
    <n v="480"/>
    <s v="April"/>
  </r>
  <r>
    <s v="04-23-2025"/>
    <s v="Dr. Sameer Tuteja"/>
    <s v="Sube Ram"/>
    <n v="20"/>
    <x v="16"/>
    <s v="Sun Pharma"/>
    <s v="IVE0125X"/>
    <d v="2026-11-01T00:00:00"/>
    <n v="1000"/>
    <s v="April"/>
  </r>
  <r>
    <s v="04-23-2025"/>
    <s v="Dr. Vinay Singla"/>
    <s v="Shishpal Sharma"/>
    <n v="16"/>
    <x v="0"/>
    <s v="Cipla"/>
    <s v="PAR0125/25"/>
    <d v="2027-03-01T00:00:00"/>
    <n v="32"/>
    <s v="April"/>
  </r>
  <r>
    <s v="04-23-2025"/>
    <s v="Dr. Renu Bansal"/>
    <s v="Sumitra Devi"/>
    <n v="25"/>
    <x v="1"/>
    <s v="Sun Pharma"/>
    <s v="IBU0325A"/>
    <d v="2027-02-01T00:00:00"/>
    <n v="75"/>
    <s v="April"/>
  </r>
  <r>
    <s v="04-23-2025"/>
    <s v="Dr. Rajesh Batra"/>
    <s v="Sumit Kumar"/>
    <n v="3"/>
    <x v="2"/>
    <s v="Dr. Reddyâ€™s"/>
    <s v="AMO0125C"/>
    <d v="2027-07-01T00:00:00"/>
    <n v="24"/>
    <s v="April"/>
  </r>
  <r>
    <s v="04-24-2025"/>
    <s v="Dr. Renu Bansal"/>
    <s v="Dinesh Sharma"/>
    <n v="8"/>
    <x v="3"/>
    <s v="Zydus Cadila"/>
    <s v="CET0125C"/>
    <d v="2026-12-01T00:00:00"/>
    <n v="24"/>
    <s v="April"/>
  </r>
  <r>
    <s v="04-24-2025"/>
    <s v="OTC"/>
    <s v="Manisha Rani"/>
    <n v="26"/>
    <x v="4"/>
    <s v="Lupin"/>
    <s v="MET0225X"/>
    <d v="2027-09-01T00:00:00"/>
    <n v="104"/>
    <s v="April"/>
  </r>
  <r>
    <s v="04-24-2025"/>
    <s v="Dr. HC Dahiya"/>
    <s v="Dinesh Sharma"/>
    <n v="28"/>
    <x v="5"/>
    <s v="Torrent Pharma"/>
    <s v="AML0225A"/>
    <d v="2026-08-01T00:00:00"/>
    <n v="140"/>
    <s v="April"/>
  </r>
  <r>
    <s v="04-24-2025"/>
    <s v="Dr. Vinay Singla"/>
    <s v="Hari Singh"/>
    <n v="26"/>
    <x v="6"/>
    <s v="Alkem Laboratories"/>
    <s v="ATE0425X"/>
    <d v="2027-09-01T00:00:00"/>
    <n v="156"/>
    <s v="April"/>
  </r>
  <r>
    <s v="04-24-2025"/>
    <s v="Dr. Sameer Tuteja"/>
    <s v="Amar Burdak"/>
    <n v="27"/>
    <x v="7"/>
    <s v="Cipla"/>
    <s v="SAL0325B"/>
    <d v="2026-12-01T00:00:00"/>
    <n v="108"/>
    <s v="April"/>
  </r>
  <r>
    <s v="04-24-2025"/>
    <s v="Dr. Ramphal Dhaka"/>
    <s v="Chander Bhan"/>
    <n v="13"/>
    <x v="8"/>
    <s v="Sun Pharma"/>
    <s v="DOX1224C"/>
    <d v="2026-12-01T00:00:00"/>
    <n v="130"/>
    <s v="April"/>
  </r>
  <r>
    <s v="04-24-2025"/>
    <s v="OTC"/>
    <s v="Manisha Rani"/>
    <n v="5"/>
    <x v="9"/>
    <s v="Mankind Pharma"/>
    <s v="PAN0425X"/>
    <d v="2028-01-01T00:00:00"/>
    <n v="25"/>
    <s v="April"/>
  </r>
  <r>
    <s v="04-24-2025"/>
    <s v="Dr. Virender Siwach"/>
    <s v="Shishpal Sharma"/>
    <n v="25"/>
    <x v="10"/>
    <s v="GSK India"/>
    <s v="CRO0125C"/>
    <d v="2026-09-01T00:00:00"/>
    <n v="50"/>
    <s v="April"/>
  </r>
  <r>
    <s v="04-25-2025"/>
    <s v="Dr. Manohar Pahuja"/>
    <s v="Raman Dhaka"/>
    <n v="18"/>
    <x v="11"/>
    <s v="GSK India"/>
    <s v="ENO0225B"/>
    <d v="2027-07-01T00:00:00"/>
    <n v="180"/>
    <s v="April"/>
  </r>
  <r>
    <s v="04-25-2025"/>
    <s v="Dr. Anshul Sehgal"/>
    <s v="Krishan Singh"/>
    <n v="7"/>
    <x v="12"/>
    <s v="Sanofi India"/>
    <s v="BET0225C"/>
    <d v="2026-03-01T00:00:00"/>
    <n v="840"/>
    <s v="April"/>
  </r>
  <r>
    <s v="04-25-2025"/>
    <s v="Dr. HC Dahiya"/>
    <s v="Ravi Dhaka"/>
    <n v="11"/>
    <x v="13"/>
    <s v="Mankind Pharma"/>
    <s v="ALB0425X"/>
    <d v="2026-08-01T00:00:00"/>
    <n v="220"/>
    <s v="April"/>
  </r>
  <r>
    <s v="04-25-2025"/>
    <s v="Dr. Ramphal Dhaka"/>
    <s v="Sumit Kumar"/>
    <n v="18"/>
    <x v="14"/>
    <s v="Pfizer India"/>
    <s v="OXY1224X"/>
    <d v="2026-03-01T00:00:00"/>
    <n v="540"/>
    <s v="April"/>
  </r>
  <r>
    <s v="04-25-2025"/>
    <s v="OTC"/>
    <s v="Ravi Dhaka"/>
    <n v="1"/>
    <x v="15"/>
    <s v="Abbott India"/>
    <s v="ENR0125/25"/>
    <d v="2026-02-01T00:00:00"/>
    <n v="40"/>
    <s v="April"/>
  </r>
  <r>
    <s v="04-25-2025"/>
    <s v="Dr. Renu Bansal"/>
    <s v="Balbir Fageria"/>
    <n v="19"/>
    <x v="16"/>
    <s v="Sun Pharma"/>
    <s v="IVE1224A"/>
    <d v="2027-08-01T00:00:00"/>
    <n v="950"/>
    <s v="April"/>
  </r>
  <r>
    <s v="04-25-2025"/>
    <s v="Dr. HC Dahiya"/>
    <s v="Sumitra Devi"/>
    <n v="28"/>
    <x v="0"/>
    <s v="Cipla"/>
    <s v="PAR1224A"/>
    <d v="2026-01-01T00:00:00"/>
    <n v="56"/>
    <s v="April"/>
  </r>
  <r>
    <s v="04-25-2025"/>
    <s v="Dr. Rajesh Batra"/>
    <s v="Shishpal Sharma"/>
    <n v="25"/>
    <x v="1"/>
    <s v="Sun Pharma"/>
    <s v="IBU1224A"/>
    <d v="2026-03-01T00:00:00"/>
    <n v="75"/>
    <s v="April"/>
  </r>
  <r>
    <s v="04-26-2025"/>
    <s v="Dr. Kamaljeet Sambhyl"/>
    <s v="Krishan Singh"/>
    <n v="16"/>
    <x v="2"/>
    <s v="Dr. Reddyâ€™s"/>
    <s v="AMO0325/25"/>
    <d v="2027-09-01T00:00:00"/>
    <n v="128"/>
    <s v="April"/>
  </r>
  <r>
    <s v="04-26-2025"/>
    <s v="Dr. Vinay Singla"/>
    <s v="Pawan Khakhal"/>
    <n v="17"/>
    <x v="3"/>
    <s v="Zydus Cadila"/>
    <s v="CET0425X"/>
    <d v="2027-12-01T00:00:00"/>
    <n v="51"/>
    <s v="April"/>
  </r>
  <r>
    <s v="04-26-2025"/>
    <s v="Dr. Ramphal Dhaka"/>
    <s v="Amar Burdak"/>
    <n v="15"/>
    <x v="4"/>
    <s v="Lupin"/>
    <s v="MET0125A"/>
    <d v="2027-03-01T00:00:00"/>
    <n v="60"/>
    <s v="April"/>
  </r>
  <r>
    <s v="04-26-2025"/>
    <s v="Dr. Geeta Choudhary"/>
    <s v="Shyam Sunder"/>
    <n v="23"/>
    <x v="5"/>
    <s v="Torrent Pharma"/>
    <s v="AML0125B"/>
    <d v="2027-04-01T00:00:00"/>
    <n v="115"/>
    <s v="April"/>
  </r>
  <r>
    <s v="04-26-2025"/>
    <s v="Dr. Virender Siwach"/>
    <s v="Amar Burdak"/>
    <n v="25"/>
    <x v="6"/>
    <s v="Alkem Laboratories"/>
    <s v="ATE1224C"/>
    <d v="2026-02-01T00:00:00"/>
    <n v="150"/>
    <s v="April"/>
  </r>
  <r>
    <s v="04-26-2025"/>
    <s v="Dr. Anshul Sehgal"/>
    <s v="Ravi Dhaka"/>
    <n v="10"/>
    <x v="7"/>
    <s v="Cipla"/>
    <s v="SAL0125C"/>
    <d v="2026-09-01T00:00:00"/>
    <n v="40"/>
    <s v="April"/>
  </r>
  <r>
    <s v="04-26-2025"/>
    <s v="OTC"/>
    <s v="Dinesh Sharma"/>
    <n v="15"/>
    <x v="8"/>
    <s v="Sun Pharma"/>
    <s v="DOX0325A"/>
    <d v="2026-05-01T00:00:00"/>
    <n v="150"/>
    <s v="April"/>
  </r>
  <r>
    <s v="04-26-2025"/>
    <s v="Dr. Manohar Pahuja"/>
    <s v="Ramkla Devi"/>
    <n v="9"/>
    <x v="9"/>
    <s v="Mankind Pharma"/>
    <s v="PAN1224/25"/>
    <d v="2026-11-01T00:00:00"/>
    <n v="45"/>
    <s v="April"/>
  </r>
  <r>
    <s v="04-27-2025"/>
    <s v="Dr. Geeta Choudhary"/>
    <s v="Umesh Kumar"/>
    <n v="11"/>
    <x v="10"/>
    <s v="GSK India"/>
    <s v="CRO0325B"/>
    <d v="2027-09-01T00:00:00"/>
    <n v="22"/>
    <s v="April"/>
  </r>
  <r>
    <s v="04-27-2025"/>
    <s v="Dr. Geeta Choudhary"/>
    <s v="Krishan Singh"/>
    <n v="2"/>
    <x v="11"/>
    <s v="GSK India"/>
    <s v="ENO0425B"/>
    <d v="2026-05-01T00:00:00"/>
    <n v="20"/>
    <s v="April"/>
  </r>
  <r>
    <s v="04-27-2025"/>
    <s v="Dr. HC Dahiya"/>
    <s v="Krishan Singh"/>
    <n v="2"/>
    <x v="12"/>
    <s v="Sanofi India"/>
    <s v="BET0225X"/>
    <d v="2026-06-01T00:00:00"/>
    <n v="240"/>
    <s v="April"/>
  </r>
  <r>
    <s v="04-27-2025"/>
    <s v="Dr. Geeta Choudhary"/>
    <s v="Mohit Chaberwal"/>
    <n v="5"/>
    <x v="13"/>
    <s v="Mankind Pharma"/>
    <s v="ALB0325/25"/>
    <d v="2026-10-01T00:00:00"/>
    <n v="100"/>
    <s v="April"/>
  </r>
  <r>
    <s v="04-27-2025"/>
    <s v="Dr. Vinay Singla"/>
    <s v="Naseeb Khakhal"/>
    <n v="4"/>
    <x v="14"/>
    <s v="Pfizer India"/>
    <s v="OXY0325B"/>
    <d v="2027-02-01T00:00:00"/>
    <n v="120"/>
    <s v="April"/>
  </r>
  <r>
    <s v="04-27-2025"/>
    <s v="OTC"/>
    <s v="Tamanna Dhaka"/>
    <n v="28"/>
    <x v="15"/>
    <s v="Abbott India"/>
    <s v="ENR0225C"/>
    <d v="2027-02-01T00:00:00"/>
    <n v="1120"/>
    <s v="April"/>
  </r>
  <r>
    <s v="04-27-2025"/>
    <s v="Dr. Kamaljeet Sambhyl"/>
    <s v="Balbir Fageria"/>
    <n v="30"/>
    <x v="16"/>
    <s v="Sun Pharma"/>
    <s v="IVE0125A"/>
    <d v="2026-08-01T00:00:00"/>
    <n v="1500"/>
    <s v="April"/>
  </r>
  <r>
    <s v="04-27-2025"/>
    <s v="OTC"/>
    <s v="Sahil Chundwal"/>
    <n v="14"/>
    <x v="0"/>
    <s v="Cipla"/>
    <s v="PAR0225/25"/>
    <d v="2026-03-01T00:00:00"/>
    <n v="28"/>
    <s v="April"/>
  </r>
  <r>
    <s v="04-28-2025"/>
    <s v="Dr. Ramphal Dhaka"/>
    <s v="Naseeb Khakhal"/>
    <n v="13"/>
    <x v="1"/>
    <s v="Sun Pharma"/>
    <s v="IBU0325/25"/>
    <d v="2027-11-01T00:00:00"/>
    <n v="39"/>
    <s v="April"/>
  </r>
  <r>
    <s v="04-28-2025"/>
    <s v="OTC"/>
    <s v="Kuldeep Singh"/>
    <n v="15"/>
    <x v="2"/>
    <s v="Dr. Reddyâ€™s"/>
    <s v="AMO0425B"/>
    <d v="2027-12-01T00:00:00"/>
    <n v="120"/>
    <s v="April"/>
  </r>
  <r>
    <s v="04-28-2025"/>
    <s v="Dr. Sameer Tuteja"/>
    <s v="Radhe Shaym"/>
    <n v="4"/>
    <x v="3"/>
    <s v="Zydus Cadila"/>
    <s v="CET0325A"/>
    <d v="2026-08-01T00:00:00"/>
    <n v="12"/>
    <s v="April"/>
  </r>
  <r>
    <s v="04-28-2025"/>
    <s v="Dr. Amit Narang"/>
    <s v="Ramkla Devi"/>
    <n v="17"/>
    <x v="4"/>
    <s v="Lupin"/>
    <s v="MET1224/25"/>
    <d v="2026-08-01T00:00:00"/>
    <n v="68"/>
    <s v="April"/>
  </r>
  <r>
    <s v="04-28-2025"/>
    <s v="Dr. Geeta Choudhary"/>
    <s v="Shyam Sunder"/>
    <n v="8"/>
    <x v="5"/>
    <s v="Torrent Pharma"/>
    <s v="AML0225/25"/>
    <d v="2027-08-01T00:00:00"/>
    <n v="40"/>
    <s v="April"/>
  </r>
  <r>
    <s v="04-28-2025"/>
    <s v="Dr. Geeta Choudhary"/>
    <s v="Krishan Singh"/>
    <n v="17"/>
    <x v="6"/>
    <s v="Alkem Laboratories"/>
    <s v="ATE0225C"/>
    <d v="2026-06-01T00:00:00"/>
    <n v="102"/>
    <s v="April"/>
  </r>
  <r>
    <s v="04-28-2025"/>
    <s v="Dr. Ramphal Dhaka"/>
    <s v="Umesh Kumar"/>
    <n v="28"/>
    <x v="7"/>
    <s v="Cipla"/>
    <s v="SAL0425A"/>
    <d v="2026-12-01T00:00:00"/>
    <n v="112"/>
    <s v="April"/>
  </r>
  <r>
    <s v="04-28-2025"/>
    <s v="Dr. Sameer Tuteja"/>
    <s v="Sumitra Devi"/>
    <n v="20"/>
    <x v="8"/>
    <s v="Sun Pharma"/>
    <s v="DOX0425X"/>
    <d v="2027-11-01T00:00:00"/>
    <n v="200"/>
    <s v="April"/>
  </r>
  <r>
    <s v="04-29-2025"/>
    <s v="Dr. Amit Narang"/>
    <s v="Umesh Kumar"/>
    <n v="18"/>
    <x v="9"/>
    <s v="Mankind Pharma"/>
    <s v="PAN0225B"/>
    <d v="2027-05-01T00:00:00"/>
    <n v="90"/>
    <s v="April"/>
  </r>
  <r>
    <s v="04-29-2025"/>
    <s v="OTC"/>
    <s v="Kuldeep Singh"/>
    <n v="14"/>
    <x v="10"/>
    <s v="GSK India"/>
    <s v="CRO0125/25"/>
    <d v="2027-07-01T00:00:00"/>
    <n v="28"/>
    <s v="April"/>
  </r>
  <r>
    <s v="04-29-2025"/>
    <s v="Dr. Rajesh Batra"/>
    <s v="Santosh Rani"/>
    <n v="28"/>
    <x v="11"/>
    <s v="GSK India"/>
    <s v="ENO0125A"/>
    <d v="2026-01-01T00:00:00"/>
    <n v="280"/>
    <s v="April"/>
  </r>
  <r>
    <s v="04-29-2025"/>
    <s v="OTC"/>
    <s v="Baljinder Singh"/>
    <n v="2"/>
    <x v="12"/>
    <s v="Sanofi India"/>
    <s v="BET0225C"/>
    <d v="2027-07-01T00:00:00"/>
    <n v="240"/>
    <s v="April"/>
  </r>
  <r>
    <s v="04-29-2025"/>
    <s v="OTC"/>
    <s v="Chander Bhan"/>
    <n v="11"/>
    <x v="13"/>
    <s v="Mankind Pharma"/>
    <s v="ALB0225A"/>
    <d v="2026-05-01T00:00:00"/>
    <n v="220"/>
    <s v="April"/>
  </r>
  <r>
    <s v="04-29-2025"/>
    <s v="OTC"/>
    <s v="Ram Kumar"/>
    <n v="11"/>
    <x v="14"/>
    <s v="Pfizer India"/>
    <s v="OXY0425/25"/>
    <d v="2026-06-01T00:00:00"/>
    <n v="330"/>
    <s v="April"/>
  </r>
  <r>
    <s v="04-29-2025"/>
    <s v="Dr. Amit Narang"/>
    <s v="Sanjay Riwar"/>
    <n v="16"/>
    <x v="15"/>
    <s v="Abbott India"/>
    <s v="ENR0125/25"/>
    <d v="2026-12-01T00:00:00"/>
    <n v="640"/>
    <s v="April"/>
  </r>
  <r>
    <s v="04-29-2025"/>
    <s v="Dr. Amit Narang"/>
    <s v="Ramkla Devi"/>
    <n v="17"/>
    <x v="16"/>
    <s v="Sun Pharma"/>
    <s v="IVE0225C"/>
    <d v="2027-09-01T00:00:00"/>
    <n v="850"/>
    <s v="April"/>
  </r>
  <r>
    <s v="04-30-2025"/>
    <s v="Dr. HC Dahiya"/>
    <s v="Hari Singh"/>
    <n v="22"/>
    <x v="0"/>
    <s v="Cipla"/>
    <s v="PAR0225X"/>
    <d v="2026-05-01T00:00:00"/>
    <n v="44"/>
    <s v="April"/>
  </r>
  <r>
    <s v="04-30-2025"/>
    <s v="OTC"/>
    <s v="Brijlalal Dhaka"/>
    <n v="16"/>
    <x v="1"/>
    <s v="Sun Pharma"/>
    <s v="IBU0425X"/>
    <d v="2028-02-01T00:00:00"/>
    <n v="48"/>
    <s v="April"/>
  </r>
  <r>
    <s v="04-30-2025"/>
    <s v="Dr. Renu Bansal"/>
    <s v="Umesh Kumar"/>
    <n v="9"/>
    <x v="2"/>
    <s v="Dr. Reddyâ€™s"/>
    <s v="AMO0325A"/>
    <d v="2027-01-01T00:00:00"/>
    <n v="72"/>
    <s v="April"/>
  </r>
  <r>
    <s v="04-30-2025"/>
    <s v="OTC"/>
    <s v="Krishan Singh"/>
    <n v="10"/>
    <x v="3"/>
    <s v="Zydus Cadila"/>
    <s v="CET0225A"/>
    <d v="2027-12-01T00:00:00"/>
    <n v="30"/>
    <s v="April"/>
  </r>
  <r>
    <s v="04-30-2025"/>
    <s v="Dr. HC Dahiya"/>
    <s v="Sahil Chundwal"/>
    <n v="1"/>
    <x v="4"/>
    <s v="Lupin"/>
    <s v="MET0125X"/>
    <d v="2026-11-01T00:00:00"/>
    <n v="4"/>
    <s v="April"/>
  </r>
  <r>
    <s v="04-30-2025"/>
    <s v="OTC"/>
    <s v="Sanjay Riwar"/>
    <n v="14"/>
    <x v="5"/>
    <s v="Torrent Pharma"/>
    <s v="AML0225A"/>
    <d v="2027-02-01T00:00:00"/>
    <n v="70"/>
    <s v="April"/>
  </r>
  <r>
    <s v="04-30-2025"/>
    <s v="Dr. Virender Siwach"/>
    <s v="Sumitra Devi"/>
    <n v="2"/>
    <x v="6"/>
    <s v="Alkem Laboratories"/>
    <s v="ATE0225C"/>
    <d v="2026-02-01T00:00:00"/>
    <n v="12"/>
    <s v="April"/>
  </r>
  <r>
    <s v="04-30-2025"/>
    <s v="OTC"/>
    <s v="Amit Dhaka"/>
    <n v="12"/>
    <x v="7"/>
    <s v="Cipla"/>
    <s v="SAL0125A"/>
    <d v="2027-04-01T00:00:00"/>
    <n v="48"/>
    <s v="April"/>
  </r>
  <r>
    <d v="2025-01-05T00:00:00"/>
    <s v="OTC"/>
    <s v="Ankit Bhadu"/>
    <n v="26"/>
    <x v="8"/>
    <s v="Sun Pharma"/>
    <s v="DOX0325X"/>
    <d v="2026-11-01T00:00:00"/>
    <n v="260"/>
    <s v="May"/>
  </r>
  <r>
    <d v="2025-01-05T00:00:00"/>
    <s v="Dr. Sameer Tuteja"/>
    <s v="Sita Ram"/>
    <n v="13"/>
    <x v="9"/>
    <s v="Mankind Pharma"/>
    <s v="PAN1224X"/>
    <d v="2027-11-01T00:00:00"/>
    <n v="65"/>
    <s v="May"/>
  </r>
  <r>
    <d v="2025-01-05T00:00:00"/>
    <s v="Dr. Geeta Choudhary"/>
    <s v="Raman Dhaka"/>
    <n v="26"/>
    <x v="10"/>
    <s v="GSK India"/>
    <s v="CRO0125/25"/>
    <d v="2027-01-01T00:00:00"/>
    <n v="52"/>
    <s v="May"/>
  </r>
  <r>
    <d v="2025-01-05T00:00:00"/>
    <s v="Dr. HC Dahiya"/>
    <s v="Balbir Fageria"/>
    <n v="7"/>
    <x v="11"/>
    <s v="GSK India"/>
    <s v="ENO0225B"/>
    <d v="2027-09-01T00:00:00"/>
    <n v="70"/>
    <s v="May"/>
  </r>
  <r>
    <d v="2025-01-05T00:00:00"/>
    <s v="Dr. Sameer Tuteja"/>
    <s v="Sanjay Riwar"/>
    <n v="30"/>
    <x v="12"/>
    <s v="Sanofi India"/>
    <s v="BET0125X"/>
    <d v="2026-07-01T00:00:00"/>
    <n v="3600"/>
    <s v="May"/>
  </r>
  <r>
    <d v="2025-01-05T00:00:00"/>
    <s v="OTC"/>
    <s v="Ram Kumar"/>
    <n v="30"/>
    <x v="13"/>
    <s v="Mankind Pharma"/>
    <s v="ALB0125/25"/>
    <d v="2027-07-01T00:00:00"/>
    <n v="600"/>
    <s v="May"/>
  </r>
  <r>
    <d v="2025-01-05T00:00:00"/>
    <s v="Dr. Kamaljeet Sambhyl"/>
    <s v="Kuldeep Singh"/>
    <n v="16"/>
    <x v="14"/>
    <s v="Pfizer India"/>
    <s v="OXY0325C"/>
    <d v="2026-04-01T00:00:00"/>
    <n v="480"/>
    <s v="May"/>
  </r>
  <r>
    <d v="2025-01-05T00:00:00"/>
    <s v="OTC"/>
    <s v="Kuldeep Singh"/>
    <n v="6"/>
    <x v="15"/>
    <s v="Abbott India"/>
    <s v="ENR1224C"/>
    <d v="2027-05-01T00:00:00"/>
    <n v="240"/>
    <s v="May"/>
  </r>
  <r>
    <d v="2025-02-05T00:00:00"/>
    <s v="Dr. Amit Narang"/>
    <s v="Naseeb Khakhal"/>
    <n v="1"/>
    <x v="16"/>
    <s v="Sun Pharma"/>
    <s v="IVE0125X"/>
    <d v="2026-04-01T00:00:00"/>
    <n v="50"/>
    <s v="May"/>
  </r>
  <r>
    <d v="2025-02-05T00:00:00"/>
    <s v="OTC"/>
    <s v="Ankit Bhadu"/>
    <n v="8"/>
    <x v="0"/>
    <s v="Cipla"/>
    <s v="PAR0325C"/>
    <d v="2027-08-01T00:00:00"/>
    <n v="16"/>
    <s v="May"/>
  </r>
  <r>
    <d v="2025-02-05T00:00:00"/>
    <s v="Dr. Sameer Tuteja"/>
    <s v="Sube Ram"/>
    <n v="1"/>
    <x v="1"/>
    <s v="Sun Pharma"/>
    <s v="IBU0325C"/>
    <d v="2027-04-01T00:00:00"/>
    <n v="3"/>
    <s v="May"/>
  </r>
  <r>
    <d v="2025-02-05T00:00:00"/>
    <s v="OTC"/>
    <s v="Amit Dhaka"/>
    <n v="30"/>
    <x v="2"/>
    <s v="Dr. Reddyâ€™s"/>
    <s v="AMO1224B"/>
    <d v="2027-01-01T00:00:00"/>
    <n v="240"/>
    <s v="May"/>
  </r>
  <r>
    <d v="2025-02-05T00:00:00"/>
    <s v="OTC"/>
    <s v="Krishan Singh"/>
    <n v="2"/>
    <x v="3"/>
    <s v="Zydus Cadila"/>
    <s v="CET0425C"/>
    <d v="2027-09-01T00:00:00"/>
    <n v="6"/>
    <s v="May"/>
  </r>
  <r>
    <d v="2025-02-05T00:00:00"/>
    <s v="Dr. Kamaljeet Sambhyl"/>
    <s v="Sube Ram"/>
    <n v="9"/>
    <x v="4"/>
    <s v="Lupin"/>
    <s v="MET0425C"/>
    <d v="2026-10-01T00:00:00"/>
    <n v="36"/>
    <s v="May"/>
  </r>
  <r>
    <d v="2025-02-05T00:00:00"/>
    <s v="Dr. Amit Narang"/>
    <s v="Shishpal Sharma"/>
    <n v="2"/>
    <x v="5"/>
    <s v="Torrent Pharma"/>
    <s v="AML0225A"/>
    <d v="2026-08-01T00:00:00"/>
    <n v="10"/>
    <s v="May"/>
  </r>
  <r>
    <d v="2025-02-05T00:00:00"/>
    <s v="Dr. Vinay Singla"/>
    <s v="Sanjay Riwar"/>
    <n v="29"/>
    <x v="6"/>
    <s v="Alkem Laboratories"/>
    <s v="ATE1224A"/>
    <d v="2027-11-01T00:00:00"/>
    <n v="174"/>
    <s v="May"/>
  </r>
  <r>
    <d v="2025-03-05T00:00:00"/>
    <s v="Dr. Anshul Sehgal"/>
    <s v="Brijlalal Dhaka"/>
    <n v="20"/>
    <x v="7"/>
    <s v="Cipla"/>
    <s v="SAL0125C"/>
    <d v="2026-05-01T00:00:00"/>
    <n v="80"/>
    <s v="May"/>
  </r>
  <r>
    <d v="2025-03-05T00:00:00"/>
    <s v="OTC"/>
    <s v="Chander Bhan"/>
    <n v="5"/>
    <x v="8"/>
    <s v="Sun Pharma"/>
    <s v="DOX0125/25"/>
    <d v="2027-09-01T00:00:00"/>
    <n v="50"/>
    <s v="May"/>
  </r>
  <r>
    <d v="2025-03-05T00:00:00"/>
    <s v="OTC"/>
    <s v="Chander Bhan"/>
    <n v="24"/>
    <x v="9"/>
    <s v="Mankind Pharma"/>
    <s v="PAN1224X"/>
    <d v="2026-08-01T00:00:00"/>
    <n v="120"/>
    <s v="May"/>
  </r>
  <r>
    <d v="2025-03-05T00:00:00"/>
    <s v="Dr. Renu Bansal"/>
    <s v="Tamanna Dhaka"/>
    <n v="14"/>
    <x v="10"/>
    <s v="GSK India"/>
    <s v="CRO0225A"/>
    <d v="2027-06-01T00:00:00"/>
    <n v="28"/>
    <s v="May"/>
  </r>
  <r>
    <d v="2025-03-05T00:00:00"/>
    <s v="Dr. HC Dahiya"/>
    <s v="Sita Ram"/>
    <n v="27"/>
    <x v="11"/>
    <s v="GSK India"/>
    <s v="ENO0125A"/>
    <d v="2027-04-01T00:00:00"/>
    <n v="270"/>
    <s v="May"/>
  </r>
  <r>
    <d v="2025-03-05T00:00:00"/>
    <s v="OTC"/>
    <s v="Yogesh Khicher"/>
    <n v="12"/>
    <x v="12"/>
    <s v="Sanofi India"/>
    <s v="BET0225X"/>
    <d v="2026-06-01T00:00:00"/>
    <n v="1440"/>
    <s v="May"/>
  </r>
  <r>
    <d v="2025-03-05T00:00:00"/>
    <s v="Dr. Virender Siwach"/>
    <s v="Chander Bhan"/>
    <n v="9"/>
    <x v="13"/>
    <s v="Mankind Pharma"/>
    <s v="ALB0425A"/>
    <d v="2026-06-01T00:00:00"/>
    <n v="180"/>
    <s v="May"/>
  </r>
  <r>
    <d v="2025-03-05T00:00:00"/>
    <s v="Dr. Ramphal Dhaka"/>
    <s v="Sumit Kumar"/>
    <n v="6"/>
    <x v="14"/>
    <s v="Pfizer India"/>
    <s v="OXY0325/25"/>
    <d v="2026-05-01T00:00:00"/>
    <n v="180"/>
    <s v="May"/>
  </r>
  <r>
    <d v="2025-04-05T00:00:00"/>
    <s v="OTC"/>
    <s v="Ram Kumar"/>
    <n v="10"/>
    <x v="15"/>
    <s v="Abbott India"/>
    <s v="ENR0325/25"/>
    <d v="2028-02-01T00:00:00"/>
    <n v="400"/>
    <s v="May"/>
  </r>
  <r>
    <d v="2025-04-05T00:00:00"/>
    <s v="Dr. Renu Bansal"/>
    <s v="Ramkla Devi"/>
    <n v="12"/>
    <x v="16"/>
    <s v="Sun Pharma"/>
    <s v="IVE0325/25"/>
    <d v="2026-06-01T00:00:00"/>
    <n v="600"/>
    <s v="May"/>
  </r>
  <r>
    <d v="2025-04-05T00:00:00"/>
    <s v="Dr. Geeta Choudhary"/>
    <s v="Sube Ram"/>
    <n v="24"/>
    <x v="0"/>
    <s v="Cipla"/>
    <s v="PAR0425/25"/>
    <d v="2027-07-01T00:00:00"/>
    <n v="48"/>
    <s v="May"/>
  </r>
  <r>
    <d v="2025-04-05T00:00:00"/>
    <s v="Dr. Anshul Sehgal"/>
    <s v="Mandeep Kumar"/>
    <n v="13"/>
    <x v="1"/>
    <s v="Sun Pharma"/>
    <s v="IBU1224C"/>
    <d v="2027-03-01T00:00:00"/>
    <n v="39"/>
    <s v="May"/>
  </r>
  <r>
    <d v="2025-04-05T00:00:00"/>
    <s v="Dr. Anshul Sehgal"/>
    <s v="Dinesh Sharma"/>
    <n v="14"/>
    <x v="2"/>
    <s v="Dr. Reddyâ€™s"/>
    <s v="AMO1224C"/>
    <d v="2027-04-01T00:00:00"/>
    <n v="112"/>
    <s v="May"/>
  </r>
  <r>
    <d v="2025-04-05T00:00:00"/>
    <s v="Dr. Sameer Tuteja"/>
    <s v="Ankit Bhadu"/>
    <n v="10"/>
    <x v="3"/>
    <s v="Zydus Cadila"/>
    <s v="CET0225C"/>
    <d v="2026-10-01T00:00:00"/>
    <n v="30"/>
    <s v="May"/>
  </r>
  <r>
    <d v="2025-04-05T00:00:00"/>
    <s v="Dr. Geeta Choudhary"/>
    <s v="Hari Singh"/>
    <n v="27"/>
    <x v="4"/>
    <s v="Lupin"/>
    <s v="MET0425/25"/>
    <d v="2026-07-01T00:00:00"/>
    <n v="108"/>
    <s v="May"/>
  </r>
  <r>
    <d v="2025-04-05T00:00:00"/>
    <s v="OTC"/>
    <s v="Randhir Fageria"/>
    <n v="19"/>
    <x v="5"/>
    <s v="Torrent Pharma"/>
    <s v="AML0225B"/>
    <d v="2027-09-01T00:00:00"/>
    <n v="95"/>
    <s v="May"/>
  </r>
  <r>
    <d v="2025-05-05T00:00:00"/>
    <s v="Dr. Manohar Pahuja"/>
    <s v="Sumitra Devi"/>
    <n v="15"/>
    <x v="6"/>
    <s v="Alkem Laboratories"/>
    <s v="ATE0225X"/>
    <d v="2026-10-01T00:00:00"/>
    <n v="90"/>
    <s v="May"/>
  </r>
  <r>
    <d v="2025-05-05T00:00:00"/>
    <s v="Dr. HC Dahiya"/>
    <s v="Randhir Fageria"/>
    <n v="17"/>
    <x v="7"/>
    <s v="Cipla"/>
    <s v="SAL0225/25"/>
    <d v="2027-08-01T00:00:00"/>
    <n v="68"/>
    <s v="May"/>
  </r>
  <r>
    <d v="2025-05-05T00:00:00"/>
    <s v="OTC"/>
    <s v="Brijlalal Dhaka"/>
    <n v="2"/>
    <x v="8"/>
    <s v="Sun Pharma"/>
    <s v="DOX0425X"/>
    <d v="2027-03-01T00:00:00"/>
    <n v="20"/>
    <s v="May"/>
  </r>
  <r>
    <d v="2025-05-05T00:00:00"/>
    <s v="Dr. Amit Narang"/>
    <s v="Krishan Singh"/>
    <n v="5"/>
    <x v="9"/>
    <s v="Mankind Pharma"/>
    <s v="PAN1224B"/>
    <d v="2026-09-01T00:00:00"/>
    <n v="25"/>
    <s v="May"/>
  </r>
  <r>
    <d v="2025-05-05T00:00:00"/>
    <s v="Dr. Sameer Tuteja"/>
    <s v="Krishan Singh"/>
    <n v="29"/>
    <x v="10"/>
    <s v="GSK India"/>
    <s v="CRO0225X"/>
    <d v="2027-12-01T00:00:00"/>
    <n v="58"/>
    <s v="May"/>
  </r>
  <r>
    <d v="2025-05-05T00:00:00"/>
    <s v="Dr. Anshul Sehgal"/>
    <s v="Naseeb Khakhal"/>
    <n v="9"/>
    <x v="11"/>
    <s v="GSK India"/>
    <s v="ENO0425B"/>
    <d v="2028-03-01T00:00:00"/>
    <n v="90"/>
    <s v="May"/>
  </r>
  <r>
    <d v="2025-05-05T00:00:00"/>
    <s v="Dr. Ramphal Dhaka"/>
    <s v="Shishpal Sharma"/>
    <n v="18"/>
    <x v="12"/>
    <s v="Sanofi India"/>
    <s v="BET0325A"/>
    <d v="2027-04-01T00:00:00"/>
    <n v="2160"/>
    <s v="May"/>
  </r>
  <r>
    <d v="2025-05-05T00:00:00"/>
    <s v="Dr. Satbir Khumber"/>
    <s v="Krishan Singh"/>
    <n v="16"/>
    <x v="13"/>
    <s v="Mankind Pharma"/>
    <s v="ALB0325B"/>
    <d v="2027-12-01T00:00:00"/>
    <n v="320"/>
    <s v="May"/>
  </r>
  <r>
    <m/>
    <m/>
    <m/>
    <m/>
    <x v="17"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d v="2025-01-01T00:00:00"/>
    <s v="OTC"/>
    <s v="Amar Burdak"/>
    <n v="23"/>
    <x v="0"/>
    <s v="Cipla"/>
    <s v="PAR0325/25"/>
    <d v="2025-03-01T00:00:00"/>
    <n v="46"/>
    <s v="January"/>
    <x v="0"/>
  </r>
  <r>
    <d v="2025-01-01T00:00:00"/>
    <s v="OTC"/>
    <s v="Santosh Rani"/>
    <n v="15"/>
    <x v="1"/>
    <s v="Sun Pharma"/>
    <s v="IBU1224A"/>
    <d v="2026-01-01T00:00:00"/>
    <n v="45"/>
    <s v="January"/>
    <x v="1"/>
  </r>
  <r>
    <d v="2025-01-01T00:00:00"/>
    <s v="Dr. Anshul Sehgal"/>
    <s v="Sanjay Riwar"/>
    <n v="22"/>
    <x v="2"/>
    <s v="Dr. Reddyâ€™s"/>
    <s v="AMO0425/25"/>
    <d v="2027-01-01T00:00:00"/>
    <n v="176"/>
    <s v="January"/>
    <x v="1"/>
  </r>
  <r>
    <d v="2025-01-01T00:00:00"/>
    <s v="Dr. Ramphal Dhaka"/>
    <s v="Balbir Fageria"/>
    <n v="28"/>
    <x v="3"/>
    <s v="Zydus Cadila"/>
    <s v="CET0425B"/>
    <d v="2027-09-01T00:00:00"/>
    <n v="84"/>
    <s v="January"/>
    <x v="1"/>
  </r>
  <r>
    <d v="2025-01-01T00:00:00"/>
    <s v="OTC"/>
    <s v="Amar Burdak"/>
    <n v="30"/>
    <x v="4"/>
    <s v="Lupin"/>
    <s v="MET0125X"/>
    <d v="2026-07-01T00:00:00"/>
    <n v="120"/>
    <s v="January"/>
    <x v="1"/>
  </r>
  <r>
    <d v="2025-01-01T00:00:00"/>
    <s v="Dr. Geeta Choudhary"/>
    <s v="Shyam Sunder"/>
    <n v="30"/>
    <x v="5"/>
    <s v="Torrent Pharma"/>
    <s v="AML0125A"/>
    <d v="2024-12-01T00:00:00"/>
    <n v="150"/>
    <s v="January"/>
    <x v="0"/>
  </r>
  <r>
    <d v="2025-01-01T00:00:00"/>
    <s v="OTC"/>
    <s v="Sanjay Riwar"/>
    <n v="21"/>
    <x v="6"/>
    <s v="Alkem Laboratories"/>
    <s v="ATE1224X"/>
    <d v="2027-11-01T00:00:00"/>
    <n v="126"/>
    <s v="January"/>
    <x v="1"/>
  </r>
  <r>
    <d v="2025-01-01T00:00:00"/>
    <s v="Dr. Vinay Singla"/>
    <s v="Krishan Singh"/>
    <n v="10"/>
    <x v="7"/>
    <s v="Cipla"/>
    <s v="SAL0125A"/>
    <d v="2027-06-01T00:00:00"/>
    <n v="40"/>
    <s v="January"/>
    <x v="1"/>
  </r>
  <r>
    <d v="2025-02-01T00:00:00"/>
    <s v="Dr. Sameer Tuteja"/>
    <s v="Dinesh Sharma"/>
    <n v="12"/>
    <x v="8"/>
    <s v="Sun Pharma"/>
    <s v="DOX0325A"/>
    <d v="2024-05-01T00:00:00"/>
    <n v="120"/>
    <s v="January"/>
    <x v="0"/>
  </r>
  <r>
    <d v="2025-02-01T00:00:00"/>
    <s v="Dr. Kamaljeet Sambhyl"/>
    <s v="Manisha Rani"/>
    <n v="8"/>
    <x v="9"/>
    <s v="Mankind Pharma"/>
    <s v="PAN0125X"/>
    <d v="2026-07-01T00:00:00"/>
    <n v="40"/>
    <s v="January"/>
    <x v="1"/>
  </r>
  <r>
    <d v="2025-02-01T00:00:00"/>
    <s v="Dr. Ramphal Dhaka"/>
    <s v="Dinesh Sharma"/>
    <n v="29"/>
    <x v="10"/>
    <s v="GSK India"/>
    <s v="CRO0125C"/>
    <d v="2026-07-01T00:00:00"/>
    <n v="58"/>
    <s v="January"/>
    <x v="1"/>
  </r>
  <r>
    <d v="2025-02-01T00:00:00"/>
    <s v="Dr. Sameer Tuteja"/>
    <s v="Sube Ram"/>
    <n v="10"/>
    <x v="11"/>
    <s v="GSK India"/>
    <s v="ENO0225/25"/>
    <d v="2026-05-01T00:00:00"/>
    <n v="100"/>
    <s v="January"/>
    <x v="1"/>
  </r>
  <r>
    <d v="2025-02-01T00:00:00"/>
    <s v="Dr. Amit Narang"/>
    <s v="Sumit Kumar"/>
    <n v="13"/>
    <x v="12"/>
    <s v="Sanofi India"/>
    <s v="BET0125/25"/>
    <d v="2026-09-01T00:00:00"/>
    <n v="840"/>
    <s v="January"/>
    <x v="1"/>
  </r>
  <r>
    <d v="2025-02-01T00:00:00"/>
    <s v="OTC"/>
    <s v="Balbir Fageria"/>
    <n v="14"/>
    <x v="13"/>
    <s v="Mankind Pharma"/>
    <s v="ALB0325C"/>
    <d v="2025-03-01T00:00:00"/>
    <n v="840"/>
    <s v="January"/>
    <x v="0"/>
  </r>
  <r>
    <d v="2025-02-01T00:00:00"/>
    <s v="Dr. HC Dahiya"/>
    <s v="Naresh Didharia"/>
    <n v="28"/>
    <x v="14"/>
    <s v="Pfizer India"/>
    <s v="OXY0425/25"/>
    <d v="2027-12-01T00:00:00"/>
    <n v="840"/>
    <s v="January"/>
    <x v="1"/>
  </r>
  <r>
    <d v="2025-02-01T00:00:00"/>
    <s v="Dr. Ramphal Dhaka"/>
    <s v="Hari Singh"/>
    <n v="23"/>
    <x v="15"/>
    <s v="Abbott India"/>
    <s v="ENR0225A"/>
    <d v="2027-12-01T00:00:00"/>
    <n v="920"/>
    <s v="January"/>
    <x v="1"/>
  </r>
  <r>
    <d v="2025-03-01T00:00:00"/>
    <s v="OTC"/>
    <s v="Brijlalal Dhaka"/>
    <n v="25"/>
    <x v="16"/>
    <s v="Sun Pharma"/>
    <s v="IVE1224C"/>
    <d v="2027-11-01T00:00:00"/>
    <n v="1250"/>
    <s v="January"/>
    <x v="1"/>
  </r>
  <r>
    <d v="2025-03-01T00:00:00"/>
    <s v="Dr. Anshul Sehgal"/>
    <s v="Hari Singh"/>
    <n v="13"/>
    <x v="0"/>
    <s v="Cipla"/>
    <s v="PAR1224C"/>
    <d v="2027-05-01T00:00:00"/>
    <n v="26"/>
    <s v="January"/>
    <x v="1"/>
  </r>
  <r>
    <d v="2025-03-01T00:00:00"/>
    <s v="Dr. Anshul Sehgal"/>
    <s v="Shishpal Sharma"/>
    <n v="26"/>
    <x v="1"/>
    <s v="Sun Pharma"/>
    <s v="IBU0425/25"/>
    <d v="2027-03-01T00:00:00"/>
    <n v="78"/>
    <s v="January"/>
    <x v="1"/>
  </r>
  <r>
    <d v="2025-03-01T00:00:00"/>
    <s v="Dr. Virender Siwach"/>
    <s v="Sumit Kumar"/>
    <n v="4"/>
    <x v="2"/>
    <s v="Dr. Reddyâ€™s"/>
    <s v="AMO0225/25"/>
    <d v="2026-05-01T00:00:00"/>
    <n v="32"/>
    <s v="January"/>
    <x v="1"/>
  </r>
  <r>
    <d v="2025-03-01T00:00:00"/>
    <s v="Dr. Anshul Sehgal"/>
    <s v="Brijlalal Dhaka"/>
    <n v="10"/>
    <x v="3"/>
    <s v="Zydus Cadila"/>
    <s v="CET0225/25"/>
    <d v="2026-11-01T00:00:00"/>
    <n v="30"/>
    <s v="January"/>
    <x v="1"/>
  </r>
  <r>
    <d v="2025-03-01T00:00:00"/>
    <s v="OTC"/>
    <s v="Ravi Dhaka"/>
    <n v="11"/>
    <x v="4"/>
    <s v="Lupin"/>
    <s v="MET0425X"/>
    <d v="2028-03-01T00:00:00"/>
    <n v="44"/>
    <s v="January"/>
    <x v="1"/>
  </r>
  <r>
    <d v="2025-03-01T00:00:00"/>
    <s v="Dr. Manohar Pahuja"/>
    <s v="Shyam Sunder"/>
    <n v="20"/>
    <x v="5"/>
    <s v="Torrent Pharma"/>
    <s v="AML0225X"/>
    <d v="2023-03-01T00:00:00"/>
    <n v="100"/>
    <s v="January"/>
    <x v="0"/>
  </r>
  <r>
    <d v="2025-03-01T00:00:00"/>
    <s v="Dr. Virender Siwach"/>
    <s v="Naresh Didharia"/>
    <n v="12"/>
    <x v="6"/>
    <s v="Alkem Laboratories"/>
    <s v="ATE0125X"/>
    <d v="2026-03-01T00:00:00"/>
    <n v="72"/>
    <s v="January"/>
    <x v="1"/>
  </r>
  <r>
    <d v="2025-04-01T00:00:00"/>
    <s v="OTC"/>
    <s v="Mandeep Kumar"/>
    <n v="21"/>
    <x v="7"/>
    <s v="Cipla"/>
    <s v="SAL0225B"/>
    <d v="2028-01-01T00:00:00"/>
    <n v="84"/>
    <s v="January"/>
    <x v="1"/>
  </r>
  <r>
    <d v="2025-04-01T00:00:00"/>
    <s v="Dr. Rajesh Batra"/>
    <s v="Krishan Singh"/>
    <n v="21"/>
    <x v="8"/>
    <s v="Sun Pharma"/>
    <s v="DOX1224/25"/>
    <d v="2027-06-01T00:00:00"/>
    <n v="210"/>
    <s v="January"/>
    <x v="1"/>
  </r>
  <r>
    <d v="2025-04-01T00:00:00"/>
    <s v="Dr. Renu Bansal"/>
    <s v="Amar Burdak"/>
    <n v="28"/>
    <x v="9"/>
    <s v="Mankind Pharma"/>
    <s v="PAN1224A"/>
    <d v="2026-08-01T00:00:00"/>
    <n v="140"/>
    <s v="January"/>
    <x v="1"/>
  </r>
  <r>
    <d v="2025-04-01T00:00:00"/>
    <s v="Dr. Anshul Sehgal"/>
    <s v="Amar Burdak"/>
    <n v="14"/>
    <x v="10"/>
    <s v="GSK India"/>
    <s v="CRO0225X"/>
    <d v="2027-11-01T00:00:00"/>
    <n v="28"/>
    <s v="January"/>
    <x v="1"/>
  </r>
  <r>
    <d v="2025-04-01T00:00:00"/>
    <s v="Dr. Vinay Singla"/>
    <s v="Sumit Kumar"/>
    <n v="7"/>
    <x v="11"/>
    <s v="GSK India"/>
    <s v="ENO0325C"/>
    <d v="2027-04-01T00:00:00"/>
    <n v="70"/>
    <s v="January"/>
    <x v="1"/>
  </r>
  <r>
    <d v="2025-04-01T00:00:00"/>
    <s v="Dr. Ramphal Dhaka"/>
    <s v="Krishan Singh"/>
    <n v="14"/>
    <x v="12"/>
    <s v="Sanofi India"/>
    <s v="BET0125C"/>
    <d v="2027-07-01T00:00:00"/>
    <n v="1680"/>
    <s v="January"/>
    <x v="1"/>
  </r>
  <r>
    <d v="2025-04-01T00:00:00"/>
    <s v="Dr. Satbir Khumber"/>
    <s v="Shyam Sunder"/>
    <n v="29"/>
    <x v="13"/>
    <s v="Mankind Pharma"/>
    <s v="ALB0225X"/>
    <d v="2024-05-01T00:00:00"/>
    <n v="580"/>
    <s v="January"/>
    <x v="0"/>
  </r>
  <r>
    <d v="2025-04-01T00:00:00"/>
    <s v="Dr. Vinay Singla"/>
    <s v="Amit Dhaka"/>
    <n v="27"/>
    <x v="14"/>
    <s v="Pfizer India"/>
    <s v="OXY1224C"/>
    <d v="2026-09-01T00:00:00"/>
    <n v="810"/>
    <s v="January"/>
    <x v="1"/>
  </r>
  <r>
    <d v="2025-05-01T00:00:00"/>
    <s v="Dr. Satbir Khumber"/>
    <s v="Mohit Chaberwal"/>
    <n v="27"/>
    <x v="15"/>
    <s v="Abbott India"/>
    <s v="ENR0325/25"/>
    <d v="2027-06-01T00:00:00"/>
    <n v="1080"/>
    <s v="January"/>
    <x v="1"/>
  </r>
  <r>
    <d v="2025-05-01T00:00:00"/>
    <s v="Dr. Anshul Sehgal"/>
    <s v="Radhe Shaym"/>
    <n v="4"/>
    <x v="16"/>
    <s v="Sun Pharma"/>
    <s v="IVE0125A"/>
    <d v="2027-03-01T00:00:00"/>
    <n v="200"/>
    <s v="January"/>
    <x v="1"/>
  </r>
  <r>
    <d v="2025-05-01T00:00:00"/>
    <s v="Dr. Manohar Pahuja"/>
    <s v="Ravi Dhaka"/>
    <n v="20"/>
    <x v="0"/>
    <s v="Cipla"/>
    <s v="PAR0125C"/>
    <d v="2027-10-01T00:00:00"/>
    <n v="40"/>
    <s v="January"/>
    <x v="1"/>
  </r>
  <r>
    <d v="2025-05-01T00:00:00"/>
    <s v="Dr. Virender Siwach"/>
    <s v="Naresh Didharia"/>
    <n v="9"/>
    <x v="1"/>
    <s v="Sun Pharma"/>
    <s v="IBU0225X"/>
    <d v="2027-02-01T00:00:00"/>
    <n v="27"/>
    <s v="January"/>
    <x v="1"/>
  </r>
  <r>
    <d v="2025-05-01T00:00:00"/>
    <s v="OTC"/>
    <s v="Randhir Fageria"/>
    <n v="24"/>
    <x v="2"/>
    <s v="Dr. Reddyâ€™s"/>
    <s v="AMO0425C"/>
    <d v="2027-05-01T00:00:00"/>
    <n v="192"/>
    <s v="January"/>
    <x v="1"/>
  </r>
  <r>
    <d v="2025-05-01T00:00:00"/>
    <s v="Dr. Geeta Choudhary"/>
    <s v="Mohit Chaberwal"/>
    <n v="17"/>
    <x v="3"/>
    <s v="Zydus Cadila"/>
    <s v="CET0125/25"/>
    <d v="2027-04-01T00:00:00"/>
    <n v="51"/>
    <s v="January"/>
    <x v="1"/>
  </r>
  <r>
    <d v="2025-05-01T00:00:00"/>
    <s v="OTC"/>
    <s v="Krishan Singh"/>
    <n v="4"/>
    <x v="4"/>
    <s v="Lupin"/>
    <s v="MET0125C"/>
    <d v="2027-12-01T00:00:00"/>
    <n v="16"/>
    <s v="January"/>
    <x v="1"/>
  </r>
  <r>
    <d v="2025-05-01T00:00:00"/>
    <s v="Dr. Manohar Pahuja"/>
    <s v="Dinesh Sharma"/>
    <n v="12"/>
    <x v="5"/>
    <s v="Torrent Pharma"/>
    <s v="AML0425C"/>
    <d v="2026-06-01T00:00:00"/>
    <n v="60"/>
    <s v="January"/>
    <x v="1"/>
  </r>
  <r>
    <d v="2025-06-01T00:00:00"/>
    <s v="Dr. Manohar Pahuja"/>
    <s v="Naseeb Khakhal"/>
    <n v="8"/>
    <x v="6"/>
    <s v="Alkem Laboratories"/>
    <s v="ATE0125A"/>
    <d v="2027-06-01T00:00:00"/>
    <n v="48"/>
    <s v="January"/>
    <x v="1"/>
  </r>
  <r>
    <d v="2025-06-01T00:00:00"/>
    <s v="Dr. Vinay Singla"/>
    <s v="Santosh Rani"/>
    <n v="10"/>
    <x v="7"/>
    <s v="Cipla"/>
    <s v="SAL0125A"/>
    <d v="2027-05-01T00:00:00"/>
    <n v="40"/>
    <s v="January"/>
    <x v="1"/>
  </r>
  <r>
    <d v="2025-06-01T00:00:00"/>
    <s v="Dr. Anshul Sehgal"/>
    <s v="Santosh Rani"/>
    <n v="20"/>
    <x v="8"/>
    <s v="Sun Pharma"/>
    <s v="DOX0325C"/>
    <d v="2023-03-01T00:00:00"/>
    <n v="200"/>
    <s v="January"/>
    <x v="0"/>
  </r>
  <r>
    <d v="2025-06-01T00:00:00"/>
    <s v="Dr. Amit Narang"/>
    <s v="Sumit Kumar"/>
    <n v="10"/>
    <x v="9"/>
    <s v="Mankind Pharma"/>
    <s v="PAN0325/25"/>
    <d v="2027-01-01T00:00:00"/>
    <n v="50"/>
    <s v="January"/>
    <x v="1"/>
  </r>
  <r>
    <d v="2025-06-01T00:00:00"/>
    <s v="Dr. Ramphal Dhaka"/>
    <s v="Ravi Dhaka"/>
    <n v="2"/>
    <x v="10"/>
    <s v="GSK India"/>
    <s v="CRO0325B"/>
    <d v="2027-03-01T00:00:00"/>
    <n v="4"/>
    <s v="January"/>
    <x v="1"/>
  </r>
  <r>
    <d v="2025-06-01T00:00:00"/>
    <s v="Dr. Amit Narang"/>
    <s v="Brijlalal Dhaka"/>
    <n v="9"/>
    <x v="11"/>
    <s v="GSK India"/>
    <s v="ENO1224/25"/>
    <d v="2027-05-01T00:00:00"/>
    <n v="90"/>
    <s v="January"/>
    <x v="1"/>
  </r>
  <r>
    <d v="2025-06-01T00:00:00"/>
    <s v="OTC"/>
    <s v="Sanjay Riwar"/>
    <n v="2"/>
    <x v="12"/>
    <s v="Sanofi India"/>
    <s v="BET0125A"/>
    <d v="2027-09-01T00:00:00"/>
    <n v="240"/>
    <s v="January"/>
    <x v="1"/>
  </r>
  <r>
    <d v="2025-06-01T00:00:00"/>
    <s v="OTC"/>
    <s v="Ramkla Devi"/>
    <n v="11"/>
    <x v="13"/>
    <s v="Mankind Pharma"/>
    <s v="ALB0225C"/>
    <d v="2027-06-01T00:00:00"/>
    <n v="220"/>
    <s v="January"/>
    <x v="1"/>
  </r>
  <r>
    <d v="2025-07-01T00:00:00"/>
    <s v="OTC"/>
    <s v="Ravi Dhaka"/>
    <n v="30"/>
    <x v="14"/>
    <s v="Pfizer India"/>
    <s v="OXY0125C"/>
    <d v="2027-02-01T00:00:00"/>
    <n v="900"/>
    <s v="January"/>
    <x v="1"/>
  </r>
  <r>
    <d v="2025-07-01T00:00:00"/>
    <s v="Dr. Satbir Khumber"/>
    <s v="Shyam Sunder"/>
    <n v="6"/>
    <x v="15"/>
    <s v="Abbott India"/>
    <s v="ENR0125C"/>
    <d v="2027-04-01T00:00:00"/>
    <n v="240"/>
    <s v="January"/>
    <x v="1"/>
  </r>
  <r>
    <d v="2025-07-01T00:00:00"/>
    <s v="Dr. Manohar Pahuja"/>
    <s v="Manisha Rani"/>
    <n v="15"/>
    <x v="16"/>
    <s v="Sun Pharma"/>
    <s v="IVE0125X"/>
    <d v="2026-05-01T00:00:00"/>
    <n v="750"/>
    <s v="January"/>
    <x v="1"/>
  </r>
  <r>
    <d v="2025-07-01T00:00:00"/>
    <s v="Dr. Amit Narang"/>
    <s v="Brijlalal Dhaka"/>
    <n v="25"/>
    <x v="0"/>
    <s v="Cipla"/>
    <s v="PAR0125A"/>
    <d v="2026-12-01T00:00:00"/>
    <n v="50"/>
    <s v="January"/>
    <x v="1"/>
  </r>
  <r>
    <d v="2025-07-01T00:00:00"/>
    <s v="Dr. Amit Narang"/>
    <s v="Ankit Bhadu"/>
    <n v="29"/>
    <x v="1"/>
    <s v="Sun Pharma"/>
    <s v="IBU0125X"/>
    <d v="2026-06-01T00:00:00"/>
    <n v="87"/>
    <s v="January"/>
    <x v="1"/>
  </r>
  <r>
    <d v="2025-07-01T00:00:00"/>
    <s v="Dr. Satbir Khumber"/>
    <s v="Brijlalal Dhaka"/>
    <n v="1"/>
    <x v="2"/>
    <s v="Dr. Reddyâ€™s"/>
    <s v="AMO0225C"/>
    <d v="2026-10-01T00:00:00"/>
    <n v="8"/>
    <s v="January"/>
    <x v="1"/>
  </r>
  <r>
    <d v="2025-07-01T00:00:00"/>
    <s v="Dr. Kamaljeet Sambhyl"/>
    <s v="Umesh Kumar"/>
    <n v="20"/>
    <x v="3"/>
    <s v="Zydus Cadila"/>
    <s v="CET0425/25"/>
    <d v="2024-07-01T00:00:00"/>
    <n v="60"/>
    <s v="January"/>
    <x v="0"/>
  </r>
  <r>
    <d v="2025-07-01T00:00:00"/>
    <s v="Dr. Satbir Khumber"/>
    <s v="Ankit Bhadu"/>
    <n v="9"/>
    <x v="4"/>
    <s v="Lupin"/>
    <s v="MET0325/25"/>
    <d v="2026-11-01T00:00:00"/>
    <n v="36"/>
    <s v="January"/>
    <x v="1"/>
  </r>
  <r>
    <d v="2025-08-01T00:00:00"/>
    <s v="Dr. Renu Bansal"/>
    <s v="Kuldeep Singh"/>
    <n v="23"/>
    <x v="5"/>
    <s v="Torrent Pharma"/>
    <s v="AML1224/25"/>
    <d v="2027-03-01T00:00:00"/>
    <n v="115"/>
    <s v="January"/>
    <x v="1"/>
  </r>
  <r>
    <d v="2025-08-01T00:00:00"/>
    <s v="Dr. Renu Bansal"/>
    <s v="Amit Dhaka"/>
    <n v="17"/>
    <x v="6"/>
    <s v="Alkem Laboratories"/>
    <s v="ATE0425B"/>
    <d v="2027-07-01T00:00:00"/>
    <n v="102"/>
    <s v="January"/>
    <x v="1"/>
  </r>
  <r>
    <d v="2025-08-01T00:00:00"/>
    <s v="OTC"/>
    <s v="Ankit Bhadu"/>
    <n v="22"/>
    <x v="7"/>
    <s v="Cipla"/>
    <s v="SAL0325/25"/>
    <d v="2026-11-01T00:00:00"/>
    <n v="88"/>
    <s v="January"/>
    <x v="1"/>
  </r>
  <r>
    <d v="2025-08-01T00:00:00"/>
    <s v="Dr. Amit Narang"/>
    <s v="Naresh Didharia"/>
    <n v="2"/>
    <x v="8"/>
    <s v="Sun Pharma"/>
    <s v="DOX0225/25"/>
    <d v="2026-08-01T00:00:00"/>
    <n v="20"/>
    <s v="January"/>
    <x v="1"/>
  </r>
  <r>
    <d v="2025-08-01T00:00:00"/>
    <s v="Dr. Sameer Tuteja"/>
    <s v="Naresh Didharia"/>
    <n v="17"/>
    <x v="9"/>
    <s v="Mankind Pharma"/>
    <s v="PAN0125A"/>
    <d v="2027-04-01T00:00:00"/>
    <n v="85"/>
    <s v="January"/>
    <x v="1"/>
  </r>
  <r>
    <d v="2025-08-01T00:00:00"/>
    <s v="Dr. HC Dahiya"/>
    <s v="Randhir Fageria"/>
    <n v="25"/>
    <x v="10"/>
    <s v="GSK India"/>
    <s v="CRO0225C"/>
    <d v="2026-07-01T00:00:00"/>
    <n v="50"/>
    <s v="January"/>
    <x v="1"/>
  </r>
  <r>
    <d v="2025-08-01T00:00:00"/>
    <s v="Dr. Kamaljeet Sambhyl"/>
    <s v="Naresh Didharia"/>
    <n v="24"/>
    <x v="11"/>
    <s v="GSK India"/>
    <s v="ENO1224X"/>
    <d v="2026-04-01T00:00:00"/>
    <n v="240"/>
    <s v="January"/>
    <x v="1"/>
  </r>
  <r>
    <d v="2025-08-01T00:00:00"/>
    <s v="Dr. Sameer Tuteja"/>
    <s v="Raman Dhaka"/>
    <n v="30"/>
    <x v="12"/>
    <s v="Sanofi India"/>
    <s v="BET0325/25"/>
    <d v="2026-10-01T00:00:00"/>
    <n v="3600"/>
    <s v="January"/>
    <x v="1"/>
  </r>
  <r>
    <d v="2025-09-01T00:00:00"/>
    <s v="OTC"/>
    <s v="Santosh Rani"/>
    <n v="27"/>
    <x v="13"/>
    <s v="Mankind Pharma"/>
    <s v="ALB0125X"/>
    <d v="2027-11-01T00:00:00"/>
    <n v="540"/>
    <s v="January"/>
    <x v="1"/>
  </r>
  <r>
    <d v="2025-09-01T00:00:00"/>
    <s v="OTC"/>
    <s v="Randhir Fageria"/>
    <n v="4"/>
    <x v="14"/>
    <s v="Pfizer India"/>
    <s v="OXY0125X"/>
    <d v="2026-12-01T00:00:00"/>
    <n v="120"/>
    <s v="January"/>
    <x v="1"/>
  </r>
  <r>
    <d v="2025-09-01T00:00:00"/>
    <s v="Dr. Vinay Singla"/>
    <s v="Sumit Kumar"/>
    <n v="27"/>
    <x v="15"/>
    <s v="Abbott India"/>
    <s v="ENR0425C"/>
    <d v="2023-05-01T00:00:00"/>
    <n v="1080"/>
    <s v="January"/>
    <x v="0"/>
  </r>
  <r>
    <d v="2025-09-01T00:00:00"/>
    <s v="OTC"/>
    <s v="Randhir Fageria"/>
    <n v="5"/>
    <x v="16"/>
    <s v="Sun Pharma"/>
    <s v="IVE0425B"/>
    <d v="2027-08-01T00:00:00"/>
    <n v="250"/>
    <s v="January"/>
    <x v="1"/>
  </r>
  <r>
    <d v="2025-09-01T00:00:00"/>
    <s v="Dr. Satbir Khumber"/>
    <s v="Brijlalal Dhaka"/>
    <n v="28"/>
    <x v="0"/>
    <s v="Cipla"/>
    <s v="PAR0425B"/>
    <d v="2026-08-01T00:00:00"/>
    <n v="56"/>
    <s v="January"/>
    <x v="1"/>
  </r>
  <r>
    <d v="2025-09-01T00:00:00"/>
    <s v="Dr. Vinay Singla"/>
    <s v="Amit Dhaka"/>
    <n v="25"/>
    <x v="1"/>
    <s v="Sun Pharma"/>
    <s v="IBU0425/25"/>
    <d v="2027-12-01T00:00:00"/>
    <n v="75"/>
    <s v="January"/>
    <x v="1"/>
  </r>
  <r>
    <d v="2025-09-01T00:00:00"/>
    <s v="Dr. Amit Narang"/>
    <s v="Balbir Fageria"/>
    <n v="2"/>
    <x v="2"/>
    <s v="Dr. Reddyâ€™s"/>
    <s v="AMO0225A"/>
    <d v="2026-09-01T00:00:00"/>
    <n v="16"/>
    <s v="January"/>
    <x v="1"/>
  </r>
  <r>
    <d v="2025-09-01T00:00:00"/>
    <s v="OTC"/>
    <s v="Naseeb Khakhal"/>
    <n v="23"/>
    <x v="3"/>
    <s v="Zydus Cadila"/>
    <s v="CET0125C"/>
    <d v="2027-12-01T00:00:00"/>
    <n v="69"/>
    <s v="January"/>
    <x v="1"/>
  </r>
  <r>
    <d v="2025-10-01T00:00:00"/>
    <s v="Dr. Geeta Choudhary"/>
    <s v="Raman Dhaka"/>
    <n v="25"/>
    <x v="4"/>
    <s v="Lupin"/>
    <s v="MET0225C"/>
    <d v="2026-09-01T00:00:00"/>
    <n v="100"/>
    <s v="January"/>
    <x v="1"/>
  </r>
  <r>
    <d v="2025-10-01T00:00:00"/>
    <s v="Dr. Geeta Choudhary"/>
    <s v="Chander Bhan"/>
    <n v="20"/>
    <x v="5"/>
    <s v="Torrent Pharma"/>
    <s v="AML0125X"/>
    <d v="2023-07-01T00:00:00"/>
    <n v="100"/>
    <s v="January"/>
    <x v="0"/>
  </r>
  <r>
    <d v="2025-10-01T00:00:00"/>
    <s v="Dr. Geeta Choudhary"/>
    <s v="Ramkla Devi"/>
    <n v="8"/>
    <x v="6"/>
    <s v="Alkem Laboratories"/>
    <s v="ATE0125/25"/>
    <d v="2026-06-01T00:00:00"/>
    <n v="48"/>
    <s v="January"/>
    <x v="1"/>
  </r>
  <r>
    <d v="2025-10-01T00:00:00"/>
    <s v="OTC"/>
    <s v="Amit Dhaka"/>
    <n v="12"/>
    <x v="7"/>
    <s v="Cipla"/>
    <s v="SAL0125X"/>
    <d v="2026-06-01T00:00:00"/>
    <n v="48"/>
    <s v="January"/>
    <x v="1"/>
  </r>
  <r>
    <d v="2025-10-01T00:00:00"/>
    <s v="Dr. Amit Narang"/>
    <s v="Amit Dhaka"/>
    <n v="14"/>
    <x v="8"/>
    <s v="Sun Pharma"/>
    <s v="DOX0125A"/>
    <d v="2027-09-01T00:00:00"/>
    <n v="140"/>
    <s v="January"/>
    <x v="1"/>
  </r>
  <r>
    <d v="2025-10-01T00:00:00"/>
    <s v="OTC"/>
    <s v="Sanjay Riwar"/>
    <n v="17"/>
    <x v="9"/>
    <s v="Mankind Pharma"/>
    <s v="PAN1224A"/>
    <d v="2027-06-01T00:00:00"/>
    <n v="85"/>
    <s v="January"/>
    <x v="1"/>
  </r>
  <r>
    <d v="2025-10-01T00:00:00"/>
    <s v="Dr. Rajesh Batra"/>
    <s v="Ram Kumar"/>
    <n v="16"/>
    <x v="10"/>
    <s v="GSK India"/>
    <s v="CRO1224A"/>
    <d v="2026-11-01T00:00:00"/>
    <n v="32"/>
    <s v="January"/>
    <x v="1"/>
  </r>
  <r>
    <d v="2025-10-01T00:00:00"/>
    <s v="Dr. Rajesh Batra"/>
    <s v="Naresh Didharia"/>
    <n v="15"/>
    <x v="11"/>
    <s v="GSK India"/>
    <s v="ENO0325B"/>
    <d v="2026-04-01T00:00:00"/>
    <n v="150"/>
    <s v="January"/>
    <x v="1"/>
  </r>
  <r>
    <d v="2025-11-01T00:00:00"/>
    <s v="Dr. Geeta Choudhary"/>
    <s v="Mandeep Kumar"/>
    <n v="29"/>
    <x v="12"/>
    <s v="Sanofi India"/>
    <s v="BET0325C"/>
    <d v="2023-11-01T00:00:00"/>
    <n v="3480"/>
    <s v="January"/>
    <x v="0"/>
  </r>
  <r>
    <d v="2025-11-01T00:00:00"/>
    <s v="Dr. Anshul Sehgal"/>
    <s v="Sube Ram"/>
    <n v="14"/>
    <x v="13"/>
    <s v="Mankind Pharma"/>
    <s v="ALB0325X"/>
    <d v="2027-03-01T00:00:00"/>
    <n v="280"/>
    <s v="January"/>
    <x v="1"/>
  </r>
  <r>
    <d v="2025-11-01T00:00:00"/>
    <s v="OTC"/>
    <s v="Naseeb Khakhal"/>
    <n v="20"/>
    <x v="14"/>
    <s v="Pfizer India"/>
    <s v="OXY0325/25"/>
    <d v="2027-11-01T00:00:00"/>
    <n v="600"/>
    <s v="January"/>
    <x v="1"/>
  </r>
  <r>
    <d v="2025-11-01T00:00:00"/>
    <s v="Dr. Rajesh Batra"/>
    <s v="Shishpal Sharma"/>
    <n v="4"/>
    <x v="15"/>
    <s v="Abbott India"/>
    <s v="ENR0325X"/>
    <d v="2027-05-01T00:00:00"/>
    <n v="160"/>
    <s v="January"/>
    <x v="1"/>
  </r>
  <r>
    <d v="2025-11-01T00:00:00"/>
    <s v="OTC"/>
    <s v="Mohit Chaberwal"/>
    <n v="4"/>
    <x v="16"/>
    <s v="Sun Pharma"/>
    <s v="IVE0125A"/>
    <d v="2027-02-01T00:00:00"/>
    <n v="200"/>
    <s v="January"/>
    <x v="1"/>
  </r>
  <r>
    <d v="2025-11-01T00:00:00"/>
    <s v="OTC"/>
    <s v="Sanjay Riwar"/>
    <n v="10"/>
    <x v="0"/>
    <s v="Cipla"/>
    <s v="PAR0425C"/>
    <d v="2027-12-01T00:00:00"/>
    <n v="20"/>
    <s v="January"/>
    <x v="1"/>
  </r>
  <r>
    <d v="2025-11-01T00:00:00"/>
    <s v="Dr. Satbir Khumber"/>
    <s v="Baljinder Singh"/>
    <n v="16"/>
    <x v="1"/>
    <s v="Sun Pharma"/>
    <s v="IBU0325B"/>
    <d v="2026-12-01T00:00:00"/>
    <n v="48"/>
    <s v="January"/>
    <x v="1"/>
  </r>
  <r>
    <d v="2025-11-01T00:00:00"/>
    <s v="OTC"/>
    <s v="Baljinder Singh"/>
    <n v="16"/>
    <x v="2"/>
    <s v="Dr. Reddyâ€™s"/>
    <s v="AMO0225C"/>
    <d v="2027-03-01T00:00:00"/>
    <n v="128"/>
    <s v="January"/>
    <x v="1"/>
  </r>
  <r>
    <d v="2025-12-01T00:00:00"/>
    <s v="Dr. HC Dahiya"/>
    <s v="Ankit Bhadu"/>
    <n v="4"/>
    <x v="3"/>
    <s v="Zydus Cadila"/>
    <s v="CET0325B"/>
    <d v="2026-07-01T00:00:00"/>
    <n v="12"/>
    <s v="January"/>
    <x v="1"/>
  </r>
  <r>
    <d v="2025-12-01T00:00:00"/>
    <s v="Dr. Sameer Tuteja"/>
    <s v="Balbir Fageria"/>
    <n v="9"/>
    <x v="4"/>
    <s v="Lupin"/>
    <s v="MET0325A"/>
    <d v="2028-01-01T00:00:00"/>
    <n v="36"/>
    <s v="January"/>
    <x v="1"/>
  </r>
  <r>
    <d v="2025-12-01T00:00:00"/>
    <s v="OTC"/>
    <s v="Randhir Fageria"/>
    <n v="12"/>
    <x v="5"/>
    <s v="Torrent Pharma"/>
    <s v="AML0125A"/>
    <d v="2027-01-01T00:00:00"/>
    <n v="60"/>
    <s v="January"/>
    <x v="1"/>
  </r>
  <r>
    <d v="2025-12-01T00:00:00"/>
    <s v="Dr. Geeta Choudhary"/>
    <s v="Radhe Shaym"/>
    <n v="9"/>
    <x v="6"/>
    <s v="Alkem Laboratories"/>
    <s v="ATE0125B"/>
    <d v="2026-10-01T00:00:00"/>
    <n v="54"/>
    <s v="January"/>
    <x v="1"/>
  </r>
  <r>
    <d v="2025-12-01T00:00:00"/>
    <s v="Dr. Anshul Sehgal"/>
    <s v="Ram Kumar"/>
    <n v="20"/>
    <x v="7"/>
    <s v="Cipla"/>
    <s v="SAL0225X"/>
    <d v="2026-10-01T00:00:00"/>
    <n v="80"/>
    <s v="January"/>
    <x v="1"/>
  </r>
  <r>
    <d v="2025-12-01T00:00:00"/>
    <s v="Dr. Kamaljeet Sambhyl"/>
    <s v="Raman Dhaka"/>
    <n v="29"/>
    <x v="8"/>
    <s v="Sun Pharma"/>
    <s v="DOX1224C"/>
    <d v="2024-08-01T00:00:00"/>
    <n v="290"/>
    <s v="January"/>
    <x v="0"/>
  </r>
  <r>
    <d v="2025-12-01T00:00:00"/>
    <s v="Dr. Kamaljeet Sambhyl"/>
    <s v="Umesh Kumar"/>
    <n v="20"/>
    <x v="9"/>
    <s v="Mankind Pharma"/>
    <s v="PAN0125C"/>
    <d v="2027-09-01T00:00:00"/>
    <n v="100"/>
    <s v="January"/>
    <x v="1"/>
  </r>
  <r>
    <d v="2025-12-01T00:00:00"/>
    <s v="Dr. Satbir Khumber"/>
    <s v="Tamanna Dhaka"/>
    <n v="23"/>
    <x v="10"/>
    <s v="GSK India"/>
    <s v="CRO0125/25"/>
    <d v="2027-04-01T00:00:00"/>
    <n v="46"/>
    <s v="January"/>
    <x v="1"/>
  </r>
  <r>
    <s v="01-13-2025"/>
    <s v="OTC"/>
    <s v="Kuldeep Singh"/>
    <n v="11"/>
    <x v="11"/>
    <s v="GSK India"/>
    <s v="ENO0225A"/>
    <d v="2026-12-01T00:00:00"/>
    <n v="110"/>
    <s v="January"/>
    <x v="1"/>
  </r>
  <r>
    <s v="01-13-2025"/>
    <s v="Dr. Renu Bansal"/>
    <s v="Yogesh Khicher"/>
    <n v="25"/>
    <x v="12"/>
    <s v="Sanofi India"/>
    <s v="BET0125C"/>
    <d v="2027-01-01T00:00:00"/>
    <n v="3000"/>
    <s v="January"/>
    <x v="1"/>
  </r>
  <r>
    <s v="01-13-2025"/>
    <s v="Dr. Sameer Tuteja"/>
    <s v="Chander Bhan"/>
    <n v="29"/>
    <x v="13"/>
    <s v="Mankind Pharma"/>
    <s v="ALB0425C"/>
    <d v="2028-01-01T00:00:00"/>
    <n v="580"/>
    <s v="January"/>
    <x v="1"/>
  </r>
  <r>
    <s v="01-13-2025"/>
    <s v="Dr. Vinay Singla"/>
    <s v="Yogesh Khicher"/>
    <n v="27"/>
    <x v="14"/>
    <s v="Pfizer India"/>
    <s v="OXY1224A"/>
    <d v="2025-12-01T00:00:00"/>
    <n v="810"/>
    <s v="January"/>
    <x v="1"/>
  </r>
  <r>
    <s v="01-13-2025"/>
    <s v="OTC"/>
    <s v="Naseeb Khakhal"/>
    <n v="9"/>
    <x v="15"/>
    <s v="Abbott India"/>
    <s v="ENR1224A"/>
    <d v="2026-08-01T00:00:00"/>
    <n v="360"/>
    <s v="January"/>
    <x v="1"/>
  </r>
  <r>
    <s v="01-13-2025"/>
    <s v="Dr. Satbir Khumber"/>
    <s v="Ankit Bhadu"/>
    <n v="12"/>
    <x v="16"/>
    <s v="Sun Pharma"/>
    <s v="IVE1224C"/>
    <d v="2026-02-01T00:00:00"/>
    <n v="600"/>
    <s v="January"/>
    <x v="1"/>
  </r>
  <r>
    <s v="01-13-2025"/>
    <s v="Dr. Satbir Khumber"/>
    <s v="Sanjay Riwar"/>
    <n v="15"/>
    <x v="0"/>
    <s v="Cipla"/>
    <s v="PAR0225A"/>
    <d v="2026-10-01T00:00:00"/>
    <n v="30"/>
    <s v="January"/>
    <x v="1"/>
  </r>
  <r>
    <s v="01-13-2025"/>
    <s v="Dr. HC Dahiya"/>
    <s v="Ramkla Devi"/>
    <n v="21"/>
    <x v="1"/>
    <s v="Sun Pharma"/>
    <s v="IBU0125B"/>
    <d v="2027-07-01T00:00:00"/>
    <n v="63"/>
    <s v="January"/>
    <x v="1"/>
  </r>
  <r>
    <s v="01-14-2025"/>
    <s v="OTC"/>
    <s v="Mandeep Kumar"/>
    <n v="15"/>
    <x v="2"/>
    <s v="Dr. Reddyâ€™s"/>
    <s v="AMO0325/25"/>
    <d v="2026-11-01T00:00:00"/>
    <n v="120"/>
    <s v="January"/>
    <x v="1"/>
  </r>
  <r>
    <s v="01-14-2025"/>
    <s v="Dr. Anshul Sehgal"/>
    <s v="Ankit Bhadu"/>
    <n v="2"/>
    <x v="3"/>
    <s v="Zydus Cadila"/>
    <s v="CET0425/25"/>
    <d v="2027-06-01T00:00:00"/>
    <n v="6"/>
    <s v="January"/>
    <x v="1"/>
  </r>
  <r>
    <s v="01-14-2025"/>
    <s v="Dr. Ramphal Dhaka"/>
    <s v="Pawan Khakhal"/>
    <n v="29"/>
    <x v="4"/>
    <s v="Lupin"/>
    <s v="MET0125X"/>
    <d v="2024-06-01T00:00:00"/>
    <n v="116"/>
    <s v="January"/>
    <x v="0"/>
  </r>
  <r>
    <s v="01-14-2025"/>
    <s v="Dr. Manohar Pahuja"/>
    <s v="Sanjay Riwar"/>
    <n v="25"/>
    <x v="5"/>
    <s v="Torrent Pharma"/>
    <s v="AML1224C"/>
    <d v="2026-10-01T00:00:00"/>
    <n v="125"/>
    <s v="January"/>
    <x v="1"/>
  </r>
  <r>
    <s v="01-14-2025"/>
    <s v="Dr. Sameer Tuteja"/>
    <s v="Hari Singh"/>
    <n v="30"/>
    <x v="6"/>
    <s v="Alkem Laboratories"/>
    <s v="ATE0225X"/>
    <d v="2026-06-01T00:00:00"/>
    <n v="180"/>
    <s v="January"/>
    <x v="1"/>
  </r>
  <r>
    <s v="01-14-2025"/>
    <s v="Dr. Satbir Khumber"/>
    <s v="Baljinder Singh"/>
    <n v="7"/>
    <x v="7"/>
    <s v="Cipla"/>
    <s v="SAL0225C"/>
    <d v="2027-07-01T00:00:00"/>
    <n v="28"/>
    <s v="January"/>
    <x v="1"/>
  </r>
  <r>
    <s v="01-14-2025"/>
    <s v="OTC"/>
    <s v="Ravi Dhaka"/>
    <n v="19"/>
    <x v="8"/>
    <s v="Sun Pharma"/>
    <s v="DOX0425/25"/>
    <d v="2027-10-01T00:00:00"/>
    <n v="190"/>
    <s v="January"/>
    <x v="1"/>
  </r>
  <r>
    <s v="01-14-2025"/>
    <s v="Dr. Manohar Pahuja"/>
    <s v="Santosh Rani"/>
    <n v="1"/>
    <x v="9"/>
    <s v="Mankind Pharma"/>
    <s v="PAN0425/25"/>
    <d v="2027-09-01T00:00:00"/>
    <n v="5"/>
    <s v="January"/>
    <x v="1"/>
  </r>
  <r>
    <s v="01-15-2025"/>
    <s v="Dr. Renu Bansal"/>
    <s v="Naresh Didharia"/>
    <n v="3"/>
    <x v="10"/>
    <s v="GSK India"/>
    <s v="CRO0225A"/>
    <d v="2026-11-01T00:00:00"/>
    <n v="6"/>
    <s v="January"/>
    <x v="1"/>
  </r>
  <r>
    <s v="01-15-2025"/>
    <s v="Dr. Manohar Pahuja"/>
    <s v="Santosh Rani"/>
    <n v="17"/>
    <x v="11"/>
    <s v="GSK India"/>
    <s v="ENO1224B"/>
    <d v="2026-08-01T00:00:00"/>
    <n v="170"/>
    <s v="January"/>
    <x v="1"/>
  </r>
  <r>
    <s v="01-15-2025"/>
    <s v="Dr. Geeta Choudhary"/>
    <s v="Amar Burdak"/>
    <n v="11"/>
    <x v="12"/>
    <s v="Sanofi India"/>
    <s v="BET0125X"/>
    <d v="2025-02-01T00:00:00"/>
    <n v="1320"/>
    <s v="January"/>
    <x v="0"/>
  </r>
  <r>
    <s v="01-15-2025"/>
    <s v="Dr. Satbir Khumber"/>
    <s v="Mandeep Kumar"/>
    <n v="24"/>
    <x v="13"/>
    <s v="Mankind Pharma"/>
    <s v="ALB1224/25"/>
    <d v="2027-09-01T00:00:00"/>
    <n v="480"/>
    <s v="January"/>
    <x v="1"/>
  </r>
  <r>
    <s v="01-15-2025"/>
    <s v="Dr. Manohar Pahuja"/>
    <s v="Tamanna Dhaka"/>
    <n v="4"/>
    <x v="14"/>
    <s v="Pfizer India"/>
    <s v="OXY0325X"/>
    <d v="2027-09-01T00:00:00"/>
    <n v="120"/>
    <s v="January"/>
    <x v="1"/>
  </r>
  <r>
    <s v="01-15-2025"/>
    <s v="Dr. Rajesh Batra"/>
    <s v="Dinesh Sharma"/>
    <n v="20"/>
    <x v="15"/>
    <s v="Abbott India"/>
    <s v="ENR0325X"/>
    <d v="2026-06-01T00:00:00"/>
    <n v="800"/>
    <s v="January"/>
    <x v="1"/>
  </r>
  <r>
    <s v="01-15-2025"/>
    <s v="Dr. Kamaljeet Sambhyl"/>
    <s v="Sube Ram"/>
    <n v="16"/>
    <x v="16"/>
    <s v="Sun Pharma"/>
    <s v="IVE0125C"/>
    <d v="2027-10-01T00:00:00"/>
    <n v="800"/>
    <s v="January"/>
    <x v="1"/>
  </r>
  <r>
    <s v="01-15-2025"/>
    <s v="OTC"/>
    <s v="Chander Bhan"/>
    <n v="3"/>
    <x v="0"/>
    <s v="Cipla"/>
    <s v="PAR1224A"/>
    <d v="2027-03-01T00:00:00"/>
    <n v="6"/>
    <s v="January"/>
    <x v="1"/>
  </r>
  <r>
    <s v="01-16-2025"/>
    <s v="Dr. Amit Narang"/>
    <s v="Mandeep Kumar"/>
    <n v="29"/>
    <x v="1"/>
    <s v="Sun Pharma"/>
    <s v="IBU1224B"/>
    <d v="2026-09-01T00:00:00"/>
    <n v="87"/>
    <s v="January"/>
    <x v="1"/>
  </r>
  <r>
    <s v="01-16-2025"/>
    <s v="Dr. Ramphal Dhaka"/>
    <s v="Brijlalal Dhaka"/>
    <n v="19"/>
    <x v="2"/>
    <s v="Dr. Reddyâ€™s"/>
    <s v="AMO0325C"/>
    <d v="2027-02-01T00:00:00"/>
    <n v="152"/>
    <s v="January"/>
    <x v="1"/>
  </r>
  <r>
    <s v="01-16-2025"/>
    <s v="Dr. Virender Siwach"/>
    <s v="Manisha Rani"/>
    <n v="17"/>
    <x v="3"/>
    <s v="Zydus Cadila"/>
    <s v="CET0125B"/>
    <d v="2027-04-01T00:00:00"/>
    <n v="51"/>
    <s v="January"/>
    <x v="1"/>
  </r>
  <r>
    <s v="01-16-2025"/>
    <s v="Dr. Virender Siwach"/>
    <s v="Radhe Shaym"/>
    <n v="7"/>
    <x v="4"/>
    <s v="Lupin"/>
    <s v="MET0225/25"/>
    <d v="2026-05-01T00:00:00"/>
    <n v="28"/>
    <s v="January"/>
    <x v="1"/>
  </r>
  <r>
    <s v="01-16-2025"/>
    <s v="Dr. Ramphal Dhaka"/>
    <s v="Mandeep Kumar"/>
    <n v="28"/>
    <x v="5"/>
    <s v="Torrent Pharma"/>
    <s v="AML0125X"/>
    <d v="2026-09-01T00:00:00"/>
    <n v="140"/>
    <s v="January"/>
    <x v="1"/>
  </r>
  <r>
    <s v="01-16-2025"/>
    <s v="Dr. Renu Bansal"/>
    <s v="Amar Burdak"/>
    <n v="17"/>
    <x v="6"/>
    <s v="Alkem Laboratories"/>
    <s v="ATE0325/25"/>
    <d v="2028-01-01T00:00:00"/>
    <n v="102"/>
    <s v="January"/>
    <x v="1"/>
  </r>
  <r>
    <s v="01-16-2025"/>
    <s v="Dr. Satbir Khumber"/>
    <s v="Naseeb Khakhal"/>
    <n v="2"/>
    <x v="7"/>
    <s v="Cipla"/>
    <s v="SAL0125/25"/>
    <d v="2026-04-01T00:00:00"/>
    <n v="8"/>
    <s v="January"/>
    <x v="1"/>
  </r>
  <r>
    <s v="01-16-2025"/>
    <s v="Dr. Renu Bansal"/>
    <s v="Umesh Kumar"/>
    <n v="18"/>
    <x v="8"/>
    <s v="Sun Pharma"/>
    <s v="DOX0325C"/>
    <d v="2027-01-01T00:00:00"/>
    <n v="180"/>
    <s v="January"/>
    <x v="1"/>
  </r>
  <r>
    <s v="01-17-2025"/>
    <s v="Dr. Ramphal Dhaka"/>
    <s v="Ramkla Devi"/>
    <n v="11"/>
    <x v="9"/>
    <s v="Mankind Pharma"/>
    <s v="PAN1224A"/>
    <d v="2024-06-01T00:00:00"/>
    <n v="55"/>
    <s v="January"/>
    <x v="0"/>
  </r>
  <r>
    <s v="01-17-2025"/>
    <s v="Dr. Renu Bansal"/>
    <s v="Shyam Sunder"/>
    <n v="25"/>
    <x v="10"/>
    <s v="GSK India"/>
    <s v="CRO0325A"/>
    <d v="2027-08-01T00:00:00"/>
    <n v="50"/>
    <s v="January"/>
    <x v="1"/>
  </r>
  <r>
    <s v="01-17-2025"/>
    <s v="Dr. Vinay Singla"/>
    <s v="Ram Kumar"/>
    <n v="18"/>
    <x v="11"/>
    <s v="GSK India"/>
    <s v="ENO0225/25"/>
    <d v="2026-12-01T00:00:00"/>
    <n v="180"/>
    <s v="January"/>
    <x v="1"/>
  </r>
  <r>
    <s v="01-17-2025"/>
    <s v="Dr. Kamaljeet Sambhyl"/>
    <s v="Sube Ram"/>
    <n v="26"/>
    <x v="12"/>
    <s v="Sanofi India"/>
    <s v="BET0325A"/>
    <d v="2026-11-01T00:00:00"/>
    <n v="3120"/>
    <s v="January"/>
    <x v="1"/>
  </r>
  <r>
    <s v="01-17-2025"/>
    <s v="Dr. HC Dahiya"/>
    <s v="Dinesh Sharma"/>
    <n v="23"/>
    <x v="13"/>
    <s v="Mankind Pharma"/>
    <s v="ALB0425B"/>
    <d v="2027-02-01T00:00:00"/>
    <n v="460"/>
    <s v="January"/>
    <x v="1"/>
  </r>
  <r>
    <s v="01-17-2025"/>
    <s v="Dr. Rajesh Batra"/>
    <s v="Naseeb Khakhal"/>
    <n v="23"/>
    <x v="14"/>
    <s v="Pfizer India"/>
    <s v="OXY0225X"/>
    <d v="2026-10-01T00:00:00"/>
    <n v="690"/>
    <s v="January"/>
    <x v="1"/>
  </r>
  <r>
    <s v="01-17-2025"/>
    <s v="OTC"/>
    <s v="Sita Ram"/>
    <n v="20"/>
    <x v="15"/>
    <s v="Abbott India"/>
    <s v="ENR0125/25"/>
    <d v="2027-07-01T00:00:00"/>
    <n v="800"/>
    <s v="January"/>
    <x v="1"/>
  </r>
  <r>
    <s v="01-17-2025"/>
    <s v="Dr. Sameer Tuteja"/>
    <s v="Amar Burdak"/>
    <n v="21"/>
    <x v="16"/>
    <s v="Sun Pharma"/>
    <s v="IVE0325/25"/>
    <d v="2025-05-01T00:00:00"/>
    <n v="1050"/>
    <s v="January"/>
    <x v="0"/>
  </r>
  <r>
    <s v="01-18-2025"/>
    <s v="Dr. Rajesh Batra"/>
    <s v="Mohit Chaberwal"/>
    <n v="16"/>
    <x v="0"/>
    <s v="Cipla"/>
    <s v="PAR0225C"/>
    <d v="2026-05-01T00:00:00"/>
    <n v="32"/>
    <s v="January"/>
    <x v="1"/>
  </r>
  <r>
    <s v="01-18-2025"/>
    <s v="OTC"/>
    <s v="Santosh Rani"/>
    <n v="19"/>
    <x v="1"/>
    <s v="Sun Pharma"/>
    <s v="IBU0125C"/>
    <d v="2026-01-01T00:00:00"/>
    <n v="57"/>
    <s v="January"/>
    <x v="1"/>
  </r>
  <r>
    <s v="01-18-2025"/>
    <s v="Dr. Virender Siwach"/>
    <s v="Ram Kumar"/>
    <n v="23"/>
    <x v="2"/>
    <s v="Dr. Reddyâ€™s"/>
    <s v="AMO1224X"/>
    <d v="2027-01-01T00:00:00"/>
    <n v="184"/>
    <s v="January"/>
    <x v="1"/>
  </r>
  <r>
    <s v="01-18-2025"/>
    <s v="OTC"/>
    <s v="Ramkla Devi"/>
    <n v="2"/>
    <x v="3"/>
    <s v="Zydus Cadila"/>
    <s v="CET1224C"/>
    <d v="2026-09-01T00:00:00"/>
    <n v="6"/>
    <s v="January"/>
    <x v="1"/>
  </r>
  <r>
    <s v="01-18-2025"/>
    <s v="OTC"/>
    <s v="Sahil Chundwal"/>
    <n v="4"/>
    <x v="4"/>
    <s v="Lupin"/>
    <s v="MET0125B"/>
    <d v="2027-02-01T00:00:00"/>
    <n v="16"/>
    <s v="January"/>
    <x v="1"/>
  </r>
  <r>
    <s v="01-18-2025"/>
    <s v="Dr. Virender Siwach"/>
    <s v="Ramkla Devi"/>
    <n v="9"/>
    <x v="5"/>
    <s v="Torrent Pharma"/>
    <s v="AML0325C"/>
    <d v="2027-10-01T00:00:00"/>
    <n v="45"/>
    <s v="January"/>
    <x v="1"/>
  </r>
  <r>
    <s v="01-18-2025"/>
    <s v="Dr. HC Dahiya"/>
    <s v="Kuldeep Singh"/>
    <n v="2"/>
    <x v="6"/>
    <s v="Alkem Laboratories"/>
    <s v="ATE1224/25"/>
    <d v="2026-08-01T00:00:00"/>
    <n v="12"/>
    <s v="January"/>
    <x v="1"/>
  </r>
  <r>
    <s v="01-18-2025"/>
    <s v="Dr. Geeta Choudhary"/>
    <s v="Manisha Rani"/>
    <n v="5"/>
    <x v="7"/>
    <s v="Cipla"/>
    <s v="SAL0125/25"/>
    <d v="2024-11-01T00:00:00"/>
    <n v="20"/>
    <s v="January"/>
    <x v="0"/>
  </r>
  <r>
    <s v="01-19-2025"/>
    <s v="Dr. Renu Bansal"/>
    <s v="Sumitra Devi"/>
    <n v="17"/>
    <x v="8"/>
    <s v="Sun Pharma"/>
    <s v="DOX0125C"/>
    <d v="2026-12-01T00:00:00"/>
    <n v="170"/>
    <s v="January"/>
    <x v="1"/>
  </r>
  <r>
    <s v="01-19-2025"/>
    <s v="Dr. Satbir Khumber"/>
    <s v="Sumit Kumar"/>
    <n v="12"/>
    <x v="9"/>
    <s v="Mankind Pharma"/>
    <s v="PAN0325/25"/>
    <d v="2027-01-01T00:00:00"/>
    <n v="60"/>
    <s v="January"/>
    <x v="1"/>
  </r>
  <r>
    <s v="01-19-2025"/>
    <s v="Dr. Virender Siwach"/>
    <s v="Baljinder Singh"/>
    <n v="17"/>
    <x v="10"/>
    <s v="GSK India"/>
    <s v="CRO1224A"/>
    <d v="2026-12-01T00:00:00"/>
    <n v="34"/>
    <s v="January"/>
    <x v="1"/>
  </r>
  <r>
    <s v="01-19-2025"/>
    <s v="Dr. Kamaljeet Sambhyl"/>
    <s v="Amar Burdak"/>
    <n v="16"/>
    <x v="11"/>
    <s v="GSK India"/>
    <s v="ENO0425A"/>
    <d v="2026-07-01T00:00:00"/>
    <n v="160"/>
    <s v="January"/>
    <x v="1"/>
  </r>
  <r>
    <s v="01-19-2025"/>
    <s v="OTC"/>
    <s v="Ankit Bhadu"/>
    <n v="22"/>
    <x v="12"/>
    <s v="Sanofi India"/>
    <s v="BET1224C"/>
    <d v="2025-12-01T00:00:00"/>
    <n v="2640"/>
    <s v="January"/>
    <x v="1"/>
  </r>
  <r>
    <s v="01-19-2025"/>
    <s v="Dr. HC Dahiya"/>
    <s v="Naresh Didharia"/>
    <n v="29"/>
    <x v="13"/>
    <s v="Mankind Pharma"/>
    <s v="ALB0325X"/>
    <d v="2026-10-01T00:00:00"/>
    <n v="580"/>
    <s v="January"/>
    <x v="1"/>
  </r>
  <r>
    <s v="01-19-2025"/>
    <s v="OTC"/>
    <s v="Yogesh Khicher"/>
    <n v="3"/>
    <x v="14"/>
    <s v="Pfizer India"/>
    <s v="OXY0425B"/>
    <d v="2026-05-01T00:00:00"/>
    <n v="90"/>
    <s v="January"/>
    <x v="1"/>
  </r>
  <r>
    <s v="01-19-2025"/>
    <s v="OTC"/>
    <s v="Umesh Kumar"/>
    <n v="20"/>
    <x v="15"/>
    <s v="Abbott India"/>
    <s v="ENR0425/25"/>
    <d v="2024-05-01T00:00:00"/>
    <n v="800"/>
    <s v="January"/>
    <x v="0"/>
  </r>
  <r>
    <s v="01-20-2025"/>
    <s v="Dr. Virender Siwach"/>
    <s v="Sahil Chundwal"/>
    <n v="14"/>
    <x v="16"/>
    <s v="Sun Pharma"/>
    <s v="IVE0225/25"/>
    <d v="2026-10-01T00:00:00"/>
    <n v="700"/>
    <s v="January"/>
    <x v="1"/>
  </r>
  <r>
    <s v="01-20-2025"/>
    <s v="Dr. Satbir Khumber"/>
    <s v="Amar Burdak"/>
    <n v="29"/>
    <x v="0"/>
    <s v="Cipla"/>
    <s v="PAR0325C"/>
    <d v="2027-10-01T00:00:00"/>
    <n v="58"/>
    <s v="January"/>
    <x v="1"/>
  </r>
  <r>
    <s v="01-20-2025"/>
    <s v="Dr. Sameer Tuteja"/>
    <s v="Sita Ram"/>
    <n v="11"/>
    <x v="1"/>
    <s v="Sun Pharma"/>
    <s v="IBU0225A"/>
    <d v="2026-07-01T00:00:00"/>
    <n v="33"/>
    <s v="January"/>
    <x v="1"/>
  </r>
  <r>
    <s v="01-20-2025"/>
    <s v="Dr. Anshul Sehgal"/>
    <s v="Naresh Didharia"/>
    <n v="30"/>
    <x v="2"/>
    <s v="Dr. Reddyâ€™s"/>
    <s v="AMO0225B"/>
    <d v="2027-10-01T00:00:00"/>
    <n v="240"/>
    <s v="January"/>
    <x v="1"/>
  </r>
  <r>
    <s v="01-20-2025"/>
    <s v="Dr. Virender Siwach"/>
    <s v="Amit Dhaka"/>
    <n v="12"/>
    <x v="3"/>
    <s v="Zydus Cadila"/>
    <s v="CET0225A"/>
    <d v="2027-04-01T00:00:00"/>
    <n v="36"/>
    <s v="January"/>
    <x v="1"/>
  </r>
  <r>
    <s v="01-20-2025"/>
    <s v="OTC"/>
    <s v="Brijlalal Dhaka"/>
    <n v="13"/>
    <x v="4"/>
    <s v="Lupin"/>
    <s v="MET0125X"/>
    <d v="2026-01-01T00:00:00"/>
    <n v="52"/>
    <s v="January"/>
    <x v="1"/>
  </r>
  <r>
    <s v="01-20-2025"/>
    <s v="Dr. Virender Siwach"/>
    <s v="Umesh Kumar"/>
    <n v="26"/>
    <x v="5"/>
    <s v="Torrent Pharma"/>
    <s v="AML0325A"/>
    <d v="2027-07-01T00:00:00"/>
    <n v="130"/>
    <s v="January"/>
    <x v="1"/>
  </r>
  <r>
    <s v="01-20-2025"/>
    <s v="Dr. Manohar Pahuja"/>
    <s v="Mandeep Kumar"/>
    <n v="6"/>
    <x v="6"/>
    <s v="Alkem Laboratories"/>
    <s v="ATE0425C"/>
    <d v="2026-06-01T00:00:00"/>
    <n v="36"/>
    <s v="January"/>
    <x v="1"/>
  </r>
  <r>
    <s v="01-21-2025"/>
    <s v="Dr. Geeta Choudhary"/>
    <s v="Hari Singh"/>
    <n v="6"/>
    <x v="7"/>
    <s v="Cipla"/>
    <s v="SAL0125X"/>
    <d v="2026-04-01T00:00:00"/>
    <n v="24"/>
    <s v="January"/>
    <x v="1"/>
  </r>
  <r>
    <s v="01-21-2025"/>
    <s v="OTC"/>
    <s v="Ankit Bhadu"/>
    <n v="15"/>
    <x v="8"/>
    <s v="Sun Pharma"/>
    <s v="DOX0325X"/>
    <d v="2027-10-01T00:00:00"/>
    <n v="150"/>
    <s v="January"/>
    <x v="1"/>
  </r>
  <r>
    <s v="01-21-2025"/>
    <s v="Dr. HC Dahiya"/>
    <s v="Ankit Bhadu"/>
    <n v="30"/>
    <x v="9"/>
    <s v="Mankind Pharma"/>
    <s v="PAN0125/25"/>
    <d v="2027-08-01T00:00:00"/>
    <n v="150"/>
    <s v="January"/>
    <x v="1"/>
  </r>
  <r>
    <s v="01-21-2025"/>
    <s v="Dr. Renu Bansal"/>
    <s v="Santosh Rani"/>
    <n v="30"/>
    <x v="10"/>
    <s v="GSK India"/>
    <s v="CRO0125/25"/>
    <d v="2023-07-01T00:00:00"/>
    <n v="60"/>
    <s v="January"/>
    <x v="0"/>
  </r>
  <r>
    <s v="01-21-2025"/>
    <s v="Dr. HC Dahiya"/>
    <s v="Sumitra Devi"/>
    <n v="5"/>
    <x v="11"/>
    <s v="GSK India"/>
    <s v="ENO0125A"/>
    <d v="2026-12-01T00:00:00"/>
    <n v="50"/>
    <s v="January"/>
    <x v="1"/>
  </r>
  <r>
    <s v="01-21-2025"/>
    <s v="OTC"/>
    <s v="Dinesh Sharma"/>
    <n v="20"/>
    <x v="12"/>
    <s v="Sanofi India"/>
    <s v="BET0425/25"/>
    <d v="2027-03-01T00:00:00"/>
    <n v="2400"/>
    <s v="January"/>
    <x v="1"/>
  </r>
  <r>
    <s v="01-21-2025"/>
    <s v="Dr. Virender Siwach"/>
    <s v="Mandeep Kumar"/>
    <n v="29"/>
    <x v="13"/>
    <s v="Mankind Pharma"/>
    <s v="ALB0125B"/>
    <d v="2026-01-01T00:00:00"/>
    <n v="580"/>
    <s v="January"/>
    <x v="1"/>
  </r>
  <r>
    <s v="01-21-2025"/>
    <s v="Dr. Anshul Sehgal"/>
    <s v="Mandeep Kumar"/>
    <n v="2"/>
    <x v="14"/>
    <s v="Pfizer India"/>
    <s v="OXY1224B"/>
    <d v="2027-02-01T00:00:00"/>
    <n v="60"/>
    <s v="January"/>
    <x v="1"/>
  </r>
  <r>
    <s v="01-22-2025"/>
    <s v="OTC"/>
    <s v="Umesh Kumar"/>
    <n v="14"/>
    <x v="15"/>
    <s v="Abbott India"/>
    <s v="ENR0225A"/>
    <d v="2026-12-01T00:00:00"/>
    <n v="560"/>
    <s v="January"/>
    <x v="1"/>
  </r>
  <r>
    <s v="01-22-2025"/>
    <s v="Dr. Renu Bansal"/>
    <s v="Radhe Shaym"/>
    <n v="10"/>
    <x v="16"/>
    <s v="Sun Pharma"/>
    <s v="IVE0325/25"/>
    <d v="2027-06-01T00:00:00"/>
    <n v="500"/>
    <s v="January"/>
    <x v="1"/>
  </r>
  <r>
    <s v="01-22-2025"/>
    <s v="Dr. Rajesh Batra"/>
    <s v="Mandeep Kumar"/>
    <n v="20"/>
    <x v="0"/>
    <s v="Cipla"/>
    <s v="PAR0125A"/>
    <d v="2026-06-01T00:00:00"/>
    <n v="40"/>
    <s v="January"/>
    <x v="1"/>
  </r>
  <r>
    <s v="01-22-2025"/>
    <s v="OTC"/>
    <s v="Pawan Khakhal"/>
    <n v="12"/>
    <x v="1"/>
    <s v="Sun Pharma"/>
    <s v="IBU0225/25"/>
    <d v="2024-10-01T00:00:00"/>
    <n v="36"/>
    <s v="January"/>
    <x v="0"/>
  </r>
  <r>
    <s v="01-22-2025"/>
    <s v="Dr. Virender Siwach"/>
    <s v="Mohit Chaberwal"/>
    <n v="4"/>
    <x v="2"/>
    <s v="Dr. Reddyâ€™s"/>
    <s v="AMO0425/25"/>
    <d v="2027-04-01T00:00:00"/>
    <n v="32"/>
    <s v="January"/>
    <x v="1"/>
  </r>
  <r>
    <s v="01-22-2025"/>
    <s v="OTC"/>
    <s v="Brijlalal Dhaka"/>
    <n v="8"/>
    <x v="3"/>
    <s v="Zydus Cadila"/>
    <s v="CET0425C"/>
    <d v="2028-01-01T00:00:00"/>
    <n v="24"/>
    <s v="January"/>
    <x v="1"/>
  </r>
  <r>
    <s v="01-22-2025"/>
    <s v="Dr. Manohar Pahuja"/>
    <s v="Brijlalal Dhaka"/>
    <n v="25"/>
    <x v="4"/>
    <s v="Lupin"/>
    <s v="MET0225A"/>
    <d v="2027-09-01T00:00:00"/>
    <n v="100"/>
    <s v="January"/>
    <x v="1"/>
  </r>
  <r>
    <s v="01-22-2025"/>
    <s v="Dr. Sameer Tuteja"/>
    <s v="Dinesh Sharma"/>
    <n v="27"/>
    <x v="5"/>
    <s v="Torrent Pharma"/>
    <s v="AML1224X"/>
    <d v="2027-01-01T00:00:00"/>
    <n v="135"/>
    <s v="January"/>
    <x v="1"/>
  </r>
  <r>
    <s v="01-23-2025"/>
    <s v="Dr. Anshul Sehgal"/>
    <s v="Sumitra Devi"/>
    <n v="10"/>
    <x v="6"/>
    <s v="Alkem Laboratories"/>
    <s v="ATE1224C"/>
    <d v="2027-10-01T00:00:00"/>
    <n v="60"/>
    <s v="January"/>
    <x v="1"/>
  </r>
  <r>
    <s v="01-23-2025"/>
    <s v="Dr. Renu Bansal"/>
    <s v="Radhe Shaym"/>
    <n v="16"/>
    <x v="7"/>
    <s v="Cipla"/>
    <s v="SAL0425C"/>
    <d v="2026-06-01T00:00:00"/>
    <n v="64"/>
    <s v="January"/>
    <x v="1"/>
  </r>
  <r>
    <s v="01-23-2025"/>
    <s v="Dr. Virender Siwach"/>
    <s v="Ramkla Devi"/>
    <n v="13"/>
    <x v="8"/>
    <s v="Sun Pharma"/>
    <s v="DOX1224A"/>
    <d v="2024-03-01T00:00:00"/>
    <n v="130"/>
    <s v="January"/>
    <x v="0"/>
  </r>
  <r>
    <s v="01-23-2025"/>
    <s v="Dr. Rajesh Batra"/>
    <s v="Baljinder Singh"/>
    <n v="13"/>
    <x v="9"/>
    <s v="Mankind Pharma"/>
    <s v="PAN0325/25"/>
    <d v="2027-09-01T00:00:00"/>
    <n v="65"/>
    <s v="January"/>
    <x v="1"/>
  </r>
  <r>
    <s v="01-23-2025"/>
    <s v="OTC"/>
    <s v="Tamanna Dhaka"/>
    <n v="22"/>
    <x v="10"/>
    <s v="GSK India"/>
    <s v="CRO0225C"/>
    <d v="2027-11-01T00:00:00"/>
    <n v="44"/>
    <s v="January"/>
    <x v="1"/>
  </r>
  <r>
    <s v="01-23-2025"/>
    <s v="OTC"/>
    <s v="Hari Singh"/>
    <n v="20"/>
    <x v="11"/>
    <s v="GSK India"/>
    <s v="ENO0125C"/>
    <d v="2026-02-01T00:00:00"/>
    <n v="200"/>
    <s v="January"/>
    <x v="1"/>
  </r>
  <r>
    <s v="01-23-2025"/>
    <s v="Dr. Virender Siwach"/>
    <s v="Sahil Chundwal"/>
    <n v="10"/>
    <x v="12"/>
    <s v="Sanofi India"/>
    <s v="BET0125/25"/>
    <d v="2027-07-01T00:00:00"/>
    <n v="1200"/>
    <s v="January"/>
    <x v="1"/>
  </r>
  <r>
    <s v="01-23-2025"/>
    <s v="OTC"/>
    <s v="Sumit Kumar"/>
    <n v="24"/>
    <x v="13"/>
    <s v="Mankind Pharma"/>
    <s v="ALB0225/25"/>
    <d v="2026-03-01T00:00:00"/>
    <n v="480"/>
    <s v="January"/>
    <x v="1"/>
  </r>
  <r>
    <s v="01-24-2025"/>
    <s v="Dr. Ramphal Dhaka"/>
    <s v="Naresh Didharia"/>
    <n v="28"/>
    <x v="14"/>
    <s v="Pfizer India"/>
    <s v="OXY0125X"/>
    <d v="2026-02-01T00:00:00"/>
    <n v="840"/>
    <s v="January"/>
    <x v="1"/>
  </r>
  <r>
    <s v="01-24-2025"/>
    <s v="OTC"/>
    <s v="Pawan Khakhal"/>
    <n v="3"/>
    <x v="15"/>
    <s v="Abbott India"/>
    <s v="ENR0225B"/>
    <d v="2024-06-01T00:00:00"/>
    <n v="120"/>
    <s v="January"/>
    <x v="0"/>
  </r>
  <r>
    <s v="01-24-2025"/>
    <s v="OTC"/>
    <s v="Chander Bhan"/>
    <n v="2"/>
    <x v="16"/>
    <s v="Sun Pharma"/>
    <s v="IVE1224/25"/>
    <d v="2026-09-01T00:00:00"/>
    <n v="100"/>
    <s v="January"/>
    <x v="1"/>
  </r>
  <r>
    <s v="01-24-2025"/>
    <s v="Dr. Ramphal Dhaka"/>
    <s v="Umesh Kumar"/>
    <n v="12"/>
    <x v="0"/>
    <s v="Cipla"/>
    <s v="PAR0425B"/>
    <d v="2026-11-01T00:00:00"/>
    <n v="24"/>
    <s v="January"/>
    <x v="1"/>
  </r>
  <r>
    <s v="01-24-2025"/>
    <s v="Dr. Satbir Khumber"/>
    <s v="Santosh Rani"/>
    <n v="20"/>
    <x v="1"/>
    <s v="Sun Pharma"/>
    <s v="IBU0425X"/>
    <d v="2027-06-01T00:00:00"/>
    <n v="60"/>
    <s v="January"/>
    <x v="1"/>
  </r>
  <r>
    <s v="01-24-2025"/>
    <s v="Dr. HC Dahiya"/>
    <s v="Balbir Fageria"/>
    <n v="23"/>
    <x v="2"/>
    <s v="Dr. Reddyâ€™s"/>
    <s v="AMO1224B"/>
    <d v="2026-08-01T00:00:00"/>
    <n v="184"/>
    <s v="January"/>
    <x v="1"/>
  </r>
  <r>
    <s v="01-24-2025"/>
    <s v="Dr. Satbir Khumber"/>
    <s v="Mandeep Kumar"/>
    <n v="29"/>
    <x v="3"/>
    <s v="Zydus Cadila"/>
    <s v="CET1224X"/>
    <d v="2026-08-01T00:00:00"/>
    <n v="87"/>
    <s v="January"/>
    <x v="1"/>
  </r>
  <r>
    <s v="01-24-2025"/>
    <s v="Dr. Satbir Khumber"/>
    <s v="Ramkla Devi"/>
    <n v="23"/>
    <x v="4"/>
    <s v="Lupin"/>
    <s v="MET0125/25"/>
    <d v="2023-09-01T00:00:00"/>
    <n v="92"/>
    <s v="January"/>
    <x v="0"/>
  </r>
  <r>
    <s v="01-25-2025"/>
    <s v="OTC"/>
    <s v="Radhe Shaym"/>
    <n v="23"/>
    <x v="5"/>
    <s v="Torrent Pharma"/>
    <s v="AML0125C"/>
    <d v="2026-05-01T00:00:00"/>
    <n v="115"/>
    <s v="January"/>
    <x v="1"/>
  </r>
  <r>
    <s v="01-25-2025"/>
    <s v="Dr. Geeta Choudhary"/>
    <s v="Tamanna Dhaka"/>
    <n v="29"/>
    <x v="6"/>
    <s v="Alkem Laboratories"/>
    <s v="ATE0225B"/>
    <d v="2027-10-01T00:00:00"/>
    <n v="174"/>
    <s v="January"/>
    <x v="1"/>
  </r>
  <r>
    <s v="01-25-2025"/>
    <s v="Dr. Kamaljeet Sambhyl"/>
    <s v="Santosh Rani"/>
    <n v="12"/>
    <x v="7"/>
    <s v="Cipla"/>
    <s v="SAL0425/25"/>
    <d v="2026-10-01T00:00:00"/>
    <n v="48"/>
    <s v="January"/>
    <x v="1"/>
  </r>
  <r>
    <s v="01-25-2025"/>
    <s v="Dr. Geeta Choudhary"/>
    <s v="Sumit Kumar"/>
    <n v="18"/>
    <x v="8"/>
    <s v="Sun Pharma"/>
    <s v="DOX0225/25"/>
    <d v="2026-11-01T00:00:00"/>
    <n v="180"/>
    <s v="January"/>
    <x v="1"/>
  </r>
  <r>
    <s v="01-25-2025"/>
    <s v="OTC"/>
    <s v="Randhir Fageria"/>
    <n v="8"/>
    <x v="9"/>
    <s v="Mankind Pharma"/>
    <s v="PAN0125B"/>
    <d v="2025-01-01T00:00:00"/>
    <n v="40"/>
    <s v="January"/>
    <x v="0"/>
  </r>
  <r>
    <s v="01-25-2025"/>
    <s v="Dr. Rajesh Batra"/>
    <s v="Radhe Shaym"/>
    <n v="13"/>
    <x v="10"/>
    <s v="GSK India"/>
    <s v="CRO0125/25"/>
    <d v="2027-07-01T00:00:00"/>
    <n v="26"/>
    <s v="January"/>
    <x v="1"/>
  </r>
  <r>
    <s v="01-25-2025"/>
    <s v="OTC"/>
    <s v="Chander Bhan"/>
    <n v="29"/>
    <x v="11"/>
    <s v="GSK India"/>
    <s v="ENO0125A"/>
    <d v="2026-03-01T00:00:00"/>
    <n v="290"/>
    <s v="January"/>
    <x v="1"/>
  </r>
  <r>
    <s v="01-25-2025"/>
    <s v="OTC"/>
    <s v="Hari Singh"/>
    <n v="24"/>
    <x v="12"/>
    <s v="Sanofi India"/>
    <s v="BET1224A"/>
    <d v="2027-03-01T00:00:00"/>
    <n v="2880"/>
    <s v="January"/>
    <x v="1"/>
  </r>
  <r>
    <s v="01-26-2025"/>
    <s v="Dr. Amit Narang"/>
    <s v="Sumit Kumar"/>
    <n v="11"/>
    <x v="13"/>
    <s v="Mankind Pharma"/>
    <s v="ALB1224B"/>
    <d v="2026-10-01T00:00:00"/>
    <n v="220"/>
    <s v="January"/>
    <x v="1"/>
  </r>
  <r>
    <s v="01-26-2025"/>
    <s v="Dr. Kamaljeet Sambhyl"/>
    <s v="Kuldeep Singh"/>
    <n v="9"/>
    <x v="14"/>
    <s v="Pfizer India"/>
    <s v="OXY0125/25"/>
    <d v="2026-08-01T00:00:00"/>
    <n v="270"/>
    <s v="January"/>
    <x v="1"/>
  </r>
  <r>
    <s v="01-26-2025"/>
    <s v="OTC"/>
    <s v="Sita Ram"/>
    <n v="13"/>
    <x v="15"/>
    <s v="Abbott India"/>
    <s v="ENR1224B"/>
    <d v="2026-07-01T00:00:00"/>
    <n v="520"/>
    <s v="January"/>
    <x v="1"/>
  </r>
  <r>
    <s v="01-26-2025"/>
    <s v="Dr. Rajesh Batra"/>
    <s v="Pawan Khakhal"/>
    <n v="29"/>
    <x v="16"/>
    <s v="Sun Pharma"/>
    <s v="IVE0125A"/>
    <d v="2025-03-01T00:00:00"/>
    <n v="1450"/>
    <s v="January"/>
    <x v="0"/>
  </r>
  <r>
    <s v="01-26-2025"/>
    <s v="OTC"/>
    <s v="Manisha Rani"/>
    <n v="19"/>
    <x v="0"/>
    <s v="Cipla"/>
    <s v="PAR0225B"/>
    <d v="2026-11-01T00:00:00"/>
    <n v="38"/>
    <s v="January"/>
    <x v="1"/>
  </r>
  <r>
    <s v="01-26-2025"/>
    <s v="Dr. Ramphal Dhaka"/>
    <s v="Sumitra Devi"/>
    <n v="2"/>
    <x v="1"/>
    <s v="Sun Pharma"/>
    <s v="IBU1224/25"/>
    <d v="2027-06-01T00:00:00"/>
    <n v="6"/>
    <s v="January"/>
    <x v="1"/>
  </r>
  <r>
    <s v="01-26-2025"/>
    <s v="Dr. Satbir Khumber"/>
    <s v="Manisha Rani"/>
    <n v="4"/>
    <x v="2"/>
    <s v="Dr. Reddyâ€™s"/>
    <s v="AMO0125X"/>
    <d v="2027-07-01T00:00:00"/>
    <n v="32"/>
    <s v="January"/>
    <x v="1"/>
  </r>
  <r>
    <s v="01-26-2025"/>
    <s v="Dr. Sameer Tuteja"/>
    <s v="Pawan Khakhal"/>
    <n v="10"/>
    <x v="3"/>
    <s v="Zydus Cadila"/>
    <s v="CET0125/25"/>
    <d v="2027-04-01T00:00:00"/>
    <n v="30"/>
    <s v="January"/>
    <x v="1"/>
  </r>
  <r>
    <s v="01-27-2025"/>
    <s v="Dr. Virender Siwach"/>
    <s v="Ankit Bhadu"/>
    <n v="19"/>
    <x v="4"/>
    <s v="Lupin"/>
    <s v="MET0325/25"/>
    <d v="2027-10-01T00:00:00"/>
    <n v="76"/>
    <s v="January"/>
    <x v="1"/>
  </r>
  <r>
    <s v="01-27-2025"/>
    <s v="Dr. Amit Narang"/>
    <s v="Amit Dhaka"/>
    <n v="10"/>
    <x v="5"/>
    <s v="Torrent Pharma"/>
    <s v="AML0325/25"/>
    <d v="2025-05-01T00:00:00"/>
    <n v="50"/>
    <s v="January"/>
    <x v="0"/>
  </r>
  <r>
    <s v="01-27-2025"/>
    <s v="Dr. Manohar Pahuja"/>
    <s v="Ram Kumar"/>
    <n v="21"/>
    <x v="6"/>
    <s v="Alkem Laboratories"/>
    <s v="ATE0125B"/>
    <d v="2026-05-01T00:00:00"/>
    <n v="126"/>
    <s v="January"/>
    <x v="1"/>
  </r>
  <r>
    <s v="01-27-2025"/>
    <s v="Dr. Kamaljeet Sambhyl"/>
    <s v="Ramkla Devi"/>
    <n v="26"/>
    <x v="7"/>
    <s v="Cipla"/>
    <s v="SAL0125/25"/>
    <d v="2026-10-01T00:00:00"/>
    <n v="104"/>
    <s v="January"/>
    <x v="1"/>
  </r>
  <r>
    <s v="01-27-2025"/>
    <s v="Dr. HC Dahiya"/>
    <s v="Sanjay Riwar"/>
    <n v="27"/>
    <x v="8"/>
    <s v="Sun Pharma"/>
    <s v="DOX0225C"/>
    <d v="2027-12-01T00:00:00"/>
    <n v="270"/>
    <s v="January"/>
    <x v="1"/>
  </r>
  <r>
    <s v="01-27-2025"/>
    <s v="Dr. Rajesh Batra"/>
    <s v="Santosh Rani"/>
    <n v="28"/>
    <x v="9"/>
    <s v="Mankind Pharma"/>
    <s v="PAN0425/25"/>
    <d v="2027-02-01T00:00:00"/>
    <n v="140"/>
    <s v="January"/>
    <x v="1"/>
  </r>
  <r>
    <s v="01-27-2025"/>
    <s v="Dr. Renu Bansal"/>
    <s v="Santosh Rani"/>
    <n v="12"/>
    <x v="10"/>
    <s v="GSK India"/>
    <s v="CRO0225C"/>
    <d v="2026-12-01T00:00:00"/>
    <n v="24"/>
    <s v="January"/>
    <x v="1"/>
  </r>
  <r>
    <s v="01-27-2025"/>
    <s v="OTC"/>
    <s v="Ram Kumar"/>
    <n v="29"/>
    <x v="11"/>
    <s v="GSK India"/>
    <s v="ENO0325C"/>
    <d v="2028-02-01T00:00:00"/>
    <n v="290"/>
    <s v="January"/>
    <x v="1"/>
  </r>
  <r>
    <s v="01-28-2025"/>
    <s v="OTC"/>
    <s v="Yogesh Khicher"/>
    <n v="11"/>
    <x v="12"/>
    <s v="Sanofi India"/>
    <s v="BET0125C"/>
    <d v="2025-03-01T00:00:00"/>
    <n v="1320"/>
    <s v="January"/>
    <x v="0"/>
  </r>
  <r>
    <s v="01-28-2025"/>
    <s v="Dr. Sameer Tuteja"/>
    <s v="Raman Dhaka"/>
    <n v="24"/>
    <x v="13"/>
    <s v="Mankind Pharma"/>
    <s v="ALB0325A"/>
    <d v="2026-03-01T00:00:00"/>
    <n v="480"/>
    <s v="January"/>
    <x v="1"/>
  </r>
  <r>
    <s v="01-28-2025"/>
    <s v="Dr. Anshul Sehgal"/>
    <s v="Ramkla Devi"/>
    <n v="5"/>
    <x v="14"/>
    <s v="Pfizer India"/>
    <s v="OXY0425/25"/>
    <d v="2026-12-01T00:00:00"/>
    <n v="150"/>
    <s v="January"/>
    <x v="1"/>
  </r>
  <r>
    <s v="01-28-2025"/>
    <s v="Dr. Anshul Sehgal"/>
    <s v="Naseeb Khakhal"/>
    <n v="2"/>
    <x v="15"/>
    <s v="Abbott India"/>
    <s v="ENR1224B"/>
    <d v="2027-01-01T00:00:00"/>
    <n v="80"/>
    <s v="January"/>
    <x v="1"/>
  </r>
  <r>
    <s v="01-28-2025"/>
    <s v="Dr. Geeta Choudhary"/>
    <s v="Sumitra Devi"/>
    <n v="11"/>
    <x v="16"/>
    <s v="Sun Pharma"/>
    <s v="IVE0325B"/>
    <d v="2026-06-01T00:00:00"/>
    <n v="550"/>
    <s v="January"/>
    <x v="1"/>
  </r>
  <r>
    <s v="01-28-2025"/>
    <s v="Dr. Renu Bansal"/>
    <s v="Amit Dhaka"/>
    <n v="11"/>
    <x v="0"/>
    <s v="Cipla"/>
    <s v="PAR0225/25"/>
    <d v="2027-07-01T00:00:00"/>
    <n v="22"/>
    <s v="January"/>
    <x v="1"/>
  </r>
  <r>
    <s v="01-28-2025"/>
    <s v="OTC"/>
    <s v="Brijlalal Dhaka"/>
    <n v="9"/>
    <x v="1"/>
    <s v="Sun Pharma"/>
    <s v="IBU0125C"/>
    <d v="2026-11-01T00:00:00"/>
    <n v="27"/>
    <s v="January"/>
    <x v="1"/>
  </r>
  <r>
    <s v="01-28-2025"/>
    <s v="OTC"/>
    <s v="Shyam Sunder"/>
    <n v="2"/>
    <x v="2"/>
    <s v="Dr. Reddyâ€™s"/>
    <s v="AMO0125X"/>
    <d v="2026-05-01T00:00:00"/>
    <n v="16"/>
    <s v="January"/>
    <x v="1"/>
  </r>
  <r>
    <s v="01-29-2025"/>
    <s v="Dr. Rajesh Batra"/>
    <s v="Amit Dhaka"/>
    <n v="28"/>
    <x v="3"/>
    <s v="Zydus Cadila"/>
    <s v="CET0425/25"/>
    <d v="2024-06-01T00:00:00"/>
    <n v="84"/>
    <s v="January"/>
    <x v="0"/>
  </r>
  <r>
    <s v="01-29-2025"/>
    <s v="Dr. Virender Siwach"/>
    <s v="Ram Kumar"/>
    <n v="26"/>
    <x v="4"/>
    <s v="Lupin"/>
    <s v="MET0225A"/>
    <d v="2027-09-01T00:00:00"/>
    <n v="104"/>
    <s v="January"/>
    <x v="1"/>
  </r>
  <r>
    <s v="01-29-2025"/>
    <s v="Dr. Ramphal Dhaka"/>
    <s v="Randhir Fageria"/>
    <n v="9"/>
    <x v="5"/>
    <s v="Torrent Pharma"/>
    <s v="AML0425C"/>
    <d v="2027-09-01T00:00:00"/>
    <n v="45"/>
    <s v="January"/>
    <x v="1"/>
  </r>
  <r>
    <s v="01-29-2025"/>
    <s v="OTC"/>
    <s v="Umesh Kumar"/>
    <n v="9"/>
    <x v="6"/>
    <s v="Alkem Laboratories"/>
    <s v="ATE0225X"/>
    <d v="2027-10-01T00:00:00"/>
    <n v="54"/>
    <s v="January"/>
    <x v="1"/>
  </r>
  <r>
    <s v="01-29-2025"/>
    <s v="Dr. Ramphal Dhaka"/>
    <s v="Shyam Sunder"/>
    <n v="20"/>
    <x v="7"/>
    <s v="Cipla"/>
    <s v="SAL0425C"/>
    <d v="2027-11-01T00:00:00"/>
    <n v="80"/>
    <s v="January"/>
    <x v="1"/>
  </r>
  <r>
    <s v="01-29-2025"/>
    <s v="OTC"/>
    <s v="Sita Ram"/>
    <n v="2"/>
    <x v="8"/>
    <s v="Sun Pharma"/>
    <s v="DOX0225X"/>
    <d v="2026-12-01T00:00:00"/>
    <n v="20"/>
    <s v="January"/>
    <x v="1"/>
  </r>
  <r>
    <s v="01-29-2025"/>
    <s v="OTC"/>
    <s v="Sita Ram"/>
    <n v="9"/>
    <x v="9"/>
    <s v="Mankind Pharma"/>
    <s v="PAN0225X"/>
    <d v="2025-01-01T00:00:00"/>
    <n v="45"/>
    <s v="January"/>
    <x v="0"/>
  </r>
  <r>
    <s v="01-29-2025"/>
    <s v="OTC"/>
    <s v="Mandeep Kumar"/>
    <n v="10"/>
    <x v="10"/>
    <s v="GSK India"/>
    <s v="CRO0225C"/>
    <d v="2027-05-01T00:00:00"/>
    <n v="20"/>
    <s v="January"/>
    <x v="1"/>
  </r>
  <r>
    <s v="01-30-2025"/>
    <s v="Dr. Vinay Singla"/>
    <s v="Randhir Fageria"/>
    <n v="8"/>
    <x v="11"/>
    <s v="GSK India"/>
    <s v="ENO1224X"/>
    <d v="2026-06-01T00:00:00"/>
    <n v="80"/>
    <s v="January"/>
    <x v="1"/>
  </r>
  <r>
    <s v="01-30-2025"/>
    <s v="Dr. Kamaljeet Sambhyl"/>
    <s v="Naseeb Khakhal"/>
    <n v="7"/>
    <x v="12"/>
    <s v="Sanofi India"/>
    <s v="BET0125X"/>
    <d v="2026-09-01T00:00:00"/>
    <n v="840"/>
    <s v="January"/>
    <x v="1"/>
  </r>
  <r>
    <s v="01-30-2025"/>
    <s v="Dr. Geeta Choudhary"/>
    <s v="Sanjay Riwar"/>
    <n v="9"/>
    <x v="13"/>
    <s v="Mankind Pharma"/>
    <s v="ALB1224C"/>
    <d v="2027-04-01T00:00:00"/>
    <n v="180"/>
    <s v="January"/>
    <x v="1"/>
  </r>
  <r>
    <s v="01-30-2025"/>
    <s v="Dr. Manohar Pahuja"/>
    <s v="Randhir Fageria"/>
    <n v="2"/>
    <x v="14"/>
    <s v="Pfizer India"/>
    <s v="OXY0225X"/>
    <d v="2027-03-01T00:00:00"/>
    <n v="60"/>
    <s v="January"/>
    <x v="1"/>
  </r>
  <r>
    <s v="01-30-2025"/>
    <s v="Dr. Virender Siwach"/>
    <s v="Mandeep Kumar"/>
    <n v="8"/>
    <x v="15"/>
    <s v="Abbott India"/>
    <s v="ENR0325C"/>
    <d v="2025-05-01T00:00:00"/>
    <n v="320"/>
    <s v="January"/>
    <x v="0"/>
  </r>
  <r>
    <s v="01-30-2025"/>
    <s v="OTC"/>
    <s v="Amar Burdak"/>
    <n v="25"/>
    <x v="16"/>
    <s v="Sun Pharma"/>
    <s v="IVE0325A"/>
    <d v="2026-05-01T00:00:00"/>
    <n v="1250"/>
    <s v="January"/>
    <x v="1"/>
  </r>
  <r>
    <s v="01-30-2025"/>
    <s v="Dr. Ramphal Dhaka"/>
    <s v="Mohit Chaberwal"/>
    <n v="30"/>
    <x v="0"/>
    <s v="Cipla"/>
    <s v="PAR0225A"/>
    <d v="2026-03-01T00:00:00"/>
    <n v="60"/>
    <s v="January"/>
    <x v="1"/>
  </r>
  <r>
    <s v="01-30-2025"/>
    <s v="Dr. Sameer Tuteja"/>
    <s v="Santosh Rani"/>
    <n v="11"/>
    <x v="1"/>
    <s v="Sun Pharma"/>
    <s v="IBU1224B"/>
    <d v="2026-07-01T00:00:00"/>
    <n v="33"/>
    <s v="January"/>
    <x v="1"/>
  </r>
  <r>
    <s v="01-31-2025"/>
    <s v="Dr. Amit Narang"/>
    <s v="Raman Dhaka"/>
    <n v="21"/>
    <x v="2"/>
    <s v="Dr. Reddyâ€™s"/>
    <s v="AMO0425/25"/>
    <d v="2027-02-01T00:00:00"/>
    <n v="168"/>
    <s v="January"/>
    <x v="1"/>
  </r>
  <r>
    <s v="01-31-2025"/>
    <s v="Dr. Renu Bansal"/>
    <s v="Manisha Rani"/>
    <n v="12"/>
    <x v="3"/>
    <s v="Zydus Cadila"/>
    <s v="CET0225C"/>
    <d v="2026-08-01T00:00:00"/>
    <n v="36"/>
    <s v="January"/>
    <x v="1"/>
  </r>
  <r>
    <s v="01-31-2025"/>
    <s v="Dr. Vinay Singla"/>
    <s v="Sanjay Riwar"/>
    <n v="10"/>
    <x v="4"/>
    <s v="Lupin"/>
    <s v="MET0325/25"/>
    <d v="2027-02-01T00:00:00"/>
    <n v="40"/>
    <s v="January"/>
    <x v="1"/>
  </r>
  <r>
    <s v="01-31-2025"/>
    <s v="OTC"/>
    <s v="Mandeep Kumar"/>
    <n v="28"/>
    <x v="5"/>
    <s v="Torrent Pharma"/>
    <s v="AML0325C"/>
    <d v="2025-03-01T00:00:00"/>
    <n v="140"/>
    <s v="January"/>
    <x v="0"/>
  </r>
  <r>
    <s v="01-31-2025"/>
    <s v="Dr. Kamaljeet Sambhyl"/>
    <s v="Sumitra Devi"/>
    <n v="9"/>
    <x v="6"/>
    <s v="Alkem Laboratories"/>
    <s v="ATE0225A"/>
    <d v="2026-03-01T00:00:00"/>
    <n v="54"/>
    <s v="January"/>
    <x v="1"/>
  </r>
  <r>
    <s v="01-31-2025"/>
    <s v="Dr. Manohar Pahuja"/>
    <s v="Radhe Shaym"/>
    <n v="3"/>
    <x v="7"/>
    <s v="Cipla"/>
    <s v="SAL1224/25"/>
    <d v="2026-02-01T00:00:00"/>
    <n v="12"/>
    <s v="January"/>
    <x v="1"/>
  </r>
  <r>
    <s v="01-31-2025"/>
    <s v="OTC"/>
    <s v="Amit Dhaka"/>
    <n v="26"/>
    <x v="8"/>
    <s v="Sun Pharma"/>
    <s v="DOX0225X"/>
    <d v="2027-04-01T00:00:00"/>
    <n v="260"/>
    <s v="January"/>
    <x v="1"/>
  </r>
  <r>
    <s v="01-31-2025"/>
    <s v="Dr. Anshul Sehgal"/>
    <s v="Mohit Chaberwal"/>
    <n v="26"/>
    <x v="9"/>
    <s v="Mankind Pharma"/>
    <s v="PAN0225B"/>
    <d v="2027-02-01T00:00:00"/>
    <n v="130"/>
    <s v="January"/>
    <x v="1"/>
  </r>
  <r>
    <d v="2025-01-02T00:00:00"/>
    <s v="Dr. Kamaljeet Sambhyl"/>
    <s v="Yogesh Khicher"/>
    <n v="27"/>
    <x v="10"/>
    <s v="GSK India"/>
    <s v="CRO0425C"/>
    <d v="2027-08-01T00:00:00"/>
    <n v="54"/>
    <s v="February"/>
    <x v="1"/>
  </r>
  <r>
    <d v="2025-01-02T00:00:00"/>
    <s v="Dr. Amit Narang"/>
    <s v="Pawan Khakhal"/>
    <n v="23"/>
    <x v="11"/>
    <s v="GSK India"/>
    <s v="ENO0425C"/>
    <d v="2027-03-01T00:00:00"/>
    <n v="230"/>
    <s v="February"/>
    <x v="1"/>
  </r>
  <r>
    <d v="2025-01-02T00:00:00"/>
    <s v="Dr. Anshul Sehgal"/>
    <s v="Brijlalal Dhaka"/>
    <n v="27"/>
    <x v="12"/>
    <s v="Sanofi India"/>
    <s v="BET0325C"/>
    <d v="2025-03-01T00:00:00"/>
    <n v="3240"/>
    <s v="February"/>
    <x v="0"/>
  </r>
  <r>
    <d v="2025-01-02T00:00:00"/>
    <s v="Dr. Ramphal Dhaka"/>
    <s v="Mohit Chaberwal"/>
    <n v="9"/>
    <x v="13"/>
    <s v="Mankind Pharma"/>
    <s v="ALB0225A"/>
    <d v="2027-11-01T00:00:00"/>
    <n v="180"/>
    <s v="February"/>
    <x v="1"/>
  </r>
  <r>
    <d v="2025-01-02T00:00:00"/>
    <s v="OTC"/>
    <s v="Sube Ram"/>
    <n v="13"/>
    <x v="14"/>
    <s v="Pfizer India"/>
    <s v="OXY0325B"/>
    <d v="2026-04-01T00:00:00"/>
    <n v="390"/>
    <s v="February"/>
    <x v="1"/>
  </r>
  <r>
    <d v="2025-01-02T00:00:00"/>
    <s v="Dr. Renu Bansal"/>
    <s v="Amit Dhaka"/>
    <n v="7"/>
    <x v="15"/>
    <s v="Abbott India"/>
    <s v="ENR0325/25"/>
    <d v="2027-10-01T00:00:00"/>
    <n v="280"/>
    <s v="February"/>
    <x v="1"/>
  </r>
  <r>
    <d v="2025-01-02T00:00:00"/>
    <s v="Dr. Virender Siwach"/>
    <s v="Randhir Fageria"/>
    <n v="24"/>
    <x v="16"/>
    <s v="Sun Pharma"/>
    <s v="IVE0325B"/>
    <d v="2027-12-01T00:00:00"/>
    <n v="1200"/>
    <s v="February"/>
    <x v="1"/>
  </r>
  <r>
    <d v="2025-01-02T00:00:00"/>
    <s v="Dr. Geeta Choudhary"/>
    <s v="Sita Ram"/>
    <n v="16"/>
    <x v="0"/>
    <s v="Cipla"/>
    <s v="PAR0325B"/>
    <d v="2027-12-01T00:00:00"/>
    <n v="32"/>
    <s v="February"/>
    <x v="1"/>
  </r>
  <r>
    <d v="2025-02-02T00:00:00"/>
    <s v="Dr. Rajesh Batra"/>
    <s v="Pawan Khakhal"/>
    <n v="23"/>
    <x v="1"/>
    <s v="Sun Pharma"/>
    <s v="IBU0225/25"/>
    <d v="2027-07-01T00:00:00"/>
    <n v="69"/>
    <s v="February"/>
    <x v="1"/>
  </r>
  <r>
    <d v="2025-02-02T00:00:00"/>
    <s v="Dr. Virender Siwach"/>
    <s v="Amit Dhaka"/>
    <n v="20"/>
    <x v="2"/>
    <s v="Dr. Reddyâ€™s"/>
    <s v="AMO0225B"/>
    <d v="2026-03-01T00:00:00"/>
    <n v="160"/>
    <s v="February"/>
    <x v="1"/>
  </r>
  <r>
    <d v="2025-02-02T00:00:00"/>
    <s v="Dr. Manohar Pahuja"/>
    <s v="Naseeb Khakhal"/>
    <n v="12"/>
    <x v="3"/>
    <s v="Zydus Cadila"/>
    <s v="CET0125C"/>
    <d v="2023-10-01T00:00:00"/>
    <n v="36"/>
    <s v="February"/>
    <x v="0"/>
  </r>
  <r>
    <d v="2025-02-02T00:00:00"/>
    <s v="Dr. Ramphal Dhaka"/>
    <s v="Krishan Singh"/>
    <n v="24"/>
    <x v="4"/>
    <s v="Lupin"/>
    <s v="MET0225B"/>
    <d v="2026-06-01T00:00:00"/>
    <n v="96"/>
    <s v="February"/>
    <x v="1"/>
  </r>
  <r>
    <d v="2025-02-02T00:00:00"/>
    <s v="OTC"/>
    <s v="Baljinder Singh"/>
    <n v="6"/>
    <x v="5"/>
    <s v="Torrent Pharma"/>
    <s v="AML0225/25"/>
    <d v="2027-07-01T00:00:00"/>
    <n v="30"/>
    <s v="February"/>
    <x v="1"/>
  </r>
  <r>
    <d v="2025-02-02T00:00:00"/>
    <s v="Dr. Sameer Tuteja"/>
    <s v="Ankit Bhadu"/>
    <n v="26"/>
    <x v="6"/>
    <s v="Alkem Laboratories"/>
    <s v="ATE0325B"/>
    <d v="2027-07-01T00:00:00"/>
    <n v="156"/>
    <s v="February"/>
    <x v="1"/>
  </r>
  <r>
    <d v="2025-02-02T00:00:00"/>
    <s v="OTC"/>
    <s v="Mohit Chaberwal"/>
    <n v="13"/>
    <x v="7"/>
    <s v="Cipla"/>
    <s v="SAL1224X"/>
    <d v="2027-01-01T00:00:00"/>
    <n v="52"/>
    <s v="February"/>
    <x v="1"/>
  </r>
  <r>
    <d v="2025-02-02T00:00:00"/>
    <s v="Dr. Virender Siwach"/>
    <s v="Chander Bhan"/>
    <n v="28"/>
    <x v="8"/>
    <s v="Sun Pharma"/>
    <s v="DOX0325A"/>
    <d v="2026-03-01T00:00:00"/>
    <n v="280"/>
    <s v="February"/>
    <x v="1"/>
  </r>
  <r>
    <d v="2025-03-02T00:00:00"/>
    <s v="OTC"/>
    <s v="Tamanna Dhaka"/>
    <n v="28"/>
    <x v="9"/>
    <s v="Mankind Pharma"/>
    <s v="PAN0225C"/>
    <d v="2025-01-01T00:00:00"/>
    <n v="140"/>
    <s v="February"/>
    <x v="0"/>
  </r>
  <r>
    <d v="2025-03-02T00:00:00"/>
    <s v="Dr. Virender Siwach"/>
    <s v="Balbir Fageria"/>
    <n v="30"/>
    <x v="10"/>
    <s v="GSK India"/>
    <s v="CRO0225B"/>
    <d v="2027-08-01T00:00:00"/>
    <n v="60"/>
    <s v="February"/>
    <x v="1"/>
  </r>
  <r>
    <d v="2025-03-02T00:00:00"/>
    <s v="OTC"/>
    <s v="Manisha Rani"/>
    <n v="19"/>
    <x v="11"/>
    <s v="GSK India"/>
    <s v="ENO0325B"/>
    <d v="2026-04-01T00:00:00"/>
    <n v="190"/>
    <s v="February"/>
    <x v="1"/>
  </r>
  <r>
    <d v="2025-03-02T00:00:00"/>
    <s v="Dr. Kamaljeet Sambhyl"/>
    <s v="Yogesh Khicher"/>
    <n v="28"/>
    <x v="12"/>
    <s v="Sanofi India"/>
    <s v="BET0425/25"/>
    <d v="2026-10-01T00:00:00"/>
    <n v="3360"/>
    <s v="February"/>
    <x v="1"/>
  </r>
  <r>
    <d v="2025-03-02T00:00:00"/>
    <s v="Dr. HC Dahiya"/>
    <s v="Sube Ram"/>
    <n v="8"/>
    <x v="13"/>
    <s v="Mankind Pharma"/>
    <s v="ALB0425/25"/>
    <d v="2026-09-01T00:00:00"/>
    <n v="160"/>
    <s v="February"/>
    <x v="1"/>
  </r>
  <r>
    <d v="2025-03-02T00:00:00"/>
    <s v="Dr. Satbir Khumber"/>
    <s v="Sahil Chundwal"/>
    <n v="27"/>
    <x v="14"/>
    <s v="Pfizer India"/>
    <s v="OXY1224/25"/>
    <d v="2026-01-01T00:00:00"/>
    <n v="810"/>
    <s v="February"/>
    <x v="1"/>
  </r>
  <r>
    <d v="2025-03-02T00:00:00"/>
    <s v="Dr. Satbir Khumber"/>
    <s v="Krishan Singh"/>
    <n v="28"/>
    <x v="15"/>
    <s v="Abbott India"/>
    <s v="ENR0125A"/>
    <d v="2023-09-01T00:00:00"/>
    <n v="1120"/>
    <s v="February"/>
    <x v="0"/>
  </r>
  <r>
    <d v="2025-03-02T00:00:00"/>
    <s v="Dr. Geeta Choudhary"/>
    <s v="Randhir Fageria"/>
    <n v="22"/>
    <x v="16"/>
    <s v="Sun Pharma"/>
    <s v="IVE0125C"/>
    <d v="2026-01-01T00:00:00"/>
    <n v="1100"/>
    <s v="February"/>
    <x v="1"/>
  </r>
  <r>
    <d v="2025-04-02T00:00:00"/>
    <s v="OTC"/>
    <s v="Sumitra Devi"/>
    <n v="17"/>
    <x v="0"/>
    <s v="Cipla"/>
    <s v="PAR0325/25"/>
    <d v="2028-02-01T00:00:00"/>
    <n v="34"/>
    <s v="February"/>
    <x v="1"/>
  </r>
  <r>
    <d v="2025-04-02T00:00:00"/>
    <s v="Dr. Satbir Khumber"/>
    <s v="Santosh Rani"/>
    <n v="3"/>
    <x v="1"/>
    <s v="Sun Pharma"/>
    <s v="IBU0225A"/>
    <d v="2027-01-01T00:00:00"/>
    <n v="9"/>
    <s v="February"/>
    <x v="1"/>
  </r>
  <r>
    <d v="2025-04-02T00:00:00"/>
    <s v="OTC"/>
    <s v="Sube Ram"/>
    <n v="26"/>
    <x v="2"/>
    <s v="Dr. Reddyâ€™s"/>
    <s v="AMO0325/25"/>
    <d v="2027-11-01T00:00:00"/>
    <n v="208"/>
    <s v="February"/>
    <x v="1"/>
  </r>
  <r>
    <d v="2025-04-02T00:00:00"/>
    <s v="Dr. Sameer Tuteja"/>
    <s v="Yogesh Khicher"/>
    <n v="9"/>
    <x v="3"/>
    <s v="Zydus Cadila"/>
    <s v="CET0325C"/>
    <d v="2027-08-01T00:00:00"/>
    <n v="27"/>
    <s v="February"/>
    <x v="1"/>
  </r>
  <r>
    <d v="2025-04-02T00:00:00"/>
    <s v="Dr. Manohar Pahuja"/>
    <s v="Shyam Sunder"/>
    <n v="24"/>
    <x v="4"/>
    <s v="Lupin"/>
    <s v="MET0325/25"/>
    <d v="2027-10-01T00:00:00"/>
    <n v="96"/>
    <s v="February"/>
    <x v="1"/>
  </r>
  <r>
    <d v="2025-04-02T00:00:00"/>
    <s v="Dr. Virender Siwach"/>
    <s v="Sumit Kumar"/>
    <n v="26"/>
    <x v="5"/>
    <s v="Torrent Pharma"/>
    <s v="AML0425A"/>
    <d v="2025-03-01T00:00:00"/>
    <n v="130"/>
    <s v="February"/>
    <x v="0"/>
  </r>
  <r>
    <d v="2025-04-02T00:00:00"/>
    <s v="Dr. Sameer Tuteja"/>
    <s v="Raman Dhaka"/>
    <n v="12"/>
    <x v="6"/>
    <s v="Alkem Laboratories"/>
    <s v="ATE0425X"/>
    <d v="2027-10-01T00:00:00"/>
    <n v="72"/>
    <s v="February"/>
    <x v="1"/>
  </r>
  <r>
    <d v="2025-04-02T00:00:00"/>
    <s v="Dr. Sameer Tuteja"/>
    <s v="Kuldeep Singh"/>
    <n v="22"/>
    <x v="7"/>
    <s v="Cipla"/>
    <s v="SAL0125X"/>
    <d v="2027-11-01T00:00:00"/>
    <n v="88"/>
    <s v="February"/>
    <x v="1"/>
  </r>
  <r>
    <d v="2025-05-02T00:00:00"/>
    <s v="Dr. Satbir Khumber"/>
    <s v="Dinesh Sharma"/>
    <n v="25"/>
    <x v="8"/>
    <s v="Sun Pharma"/>
    <s v="DOX0225C"/>
    <d v="2026-09-01T00:00:00"/>
    <n v="250"/>
    <s v="February"/>
    <x v="1"/>
  </r>
  <r>
    <d v="2025-05-02T00:00:00"/>
    <s v="OTC"/>
    <s v="Sube Ram"/>
    <n v="17"/>
    <x v="9"/>
    <s v="Mankind Pharma"/>
    <s v="PAN0325B"/>
    <d v="2027-02-01T00:00:00"/>
    <n v="85"/>
    <s v="February"/>
    <x v="1"/>
  </r>
  <r>
    <d v="2025-05-02T00:00:00"/>
    <s v="Dr. Vinay Singla"/>
    <s v="Sumit Kumar"/>
    <n v="29"/>
    <x v="10"/>
    <s v="GSK India"/>
    <s v="CRO0125C"/>
    <d v="2027-07-01T00:00:00"/>
    <n v="58"/>
    <s v="February"/>
    <x v="1"/>
  </r>
  <r>
    <d v="2025-05-02T00:00:00"/>
    <s v="Dr. Renu Bansal"/>
    <s v="Manisha Rani"/>
    <n v="27"/>
    <x v="11"/>
    <s v="GSK India"/>
    <s v="ENO0425/25"/>
    <d v="2026-09-01T00:00:00"/>
    <n v="270"/>
    <s v="February"/>
    <x v="1"/>
  </r>
  <r>
    <d v="2025-05-02T00:00:00"/>
    <s v="Dr. Geeta Choudhary"/>
    <s v="Balbir Fageria"/>
    <n v="11"/>
    <x v="12"/>
    <s v="Sanofi India"/>
    <s v="BET0225X"/>
    <d v="2026-08-01T00:00:00"/>
    <n v="1320"/>
    <s v="February"/>
    <x v="1"/>
  </r>
  <r>
    <d v="2025-05-02T00:00:00"/>
    <s v="Dr. Vinay Singla"/>
    <s v="Raman Dhaka"/>
    <n v="27"/>
    <x v="13"/>
    <s v="Mankind Pharma"/>
    <s v="ALB0125/25"/>
    <d v="2023-09-01T00:00:00"/>
    <n v="540"/>
    <s v="February"/>
    <x v="0"/>
  </r>
  <r>
    <d v="2025-05-02T00:00:00"/>
    <s v="Dr. Sameer Tuteja"/>
    <s v="Chander Bhan"/>
    <n v="2"/>
    <x v="14"/>
    <s v="Pfizer India"/>
    <s v="OXY1224A"/>
    <d v="2026-04-01T00:00:00"/>
    <n v="60"/>
    <s v="February"/>
    <x v="1"/>
  </r>
  <r>
    <d v="2025-05-02T00:00:00"/>
    <s v="Dr. Manohar Pahuja"/>
    <s v="Baljinder Singh"/>
    <n v="28"/>
    <x v="15"/>
    <s v="Abbott India"/>
    <s v="ENR0225B"/>
    <d v="2028-01-01T00:00:00"/>
    <n v="1120"/>
    <s v="February"/>
    <x v="1"/>
  </r>
  <r>
    <d v="2025-06-02T00:00:00"/>
    <s v="Dr. Sameer Tuteja"/>
    <s v="Chander Bhan"/>
    <n v="30"/>
    <x v="16"/>
    <s v="Sun Pharma"/>
    <s v="IVE0325/25"/>
    <d v="2026-08-01T00:00:00"/>
    <n v="1500"/>
    <s v="February"/>
    <x v="1"/>
  </r>
  <r>
    <d v="2025-06-02T00:00:00"/>
    <s v="Dr. Virender Siwach"/>
    <s v="Naresh Didharia"/>
    <n v="16"/>
    <x v="0"/>
    <s v="Cipla"/>
    <s v="PAR0425X"/>
    <d v="2027-05-01T00:00:00"/>
    <n v="32"/>
    <s v="February"/>
    <x v="1"/>
  </r>
  <r>
    <d v="2025-06-02T00:00:00"/>
    <s v="Dr. Kamaljeet Sambhyl"/>
    <s v="Manisha Rani"/>
    <n v="27"/>
    <x v="1"/>
    <s v="Sun Pharma"/>
    <s v="IBU0125/25"/>
    <d v="2027-05-01T00:00:00"/>
    <n v="81"/>
    <s v="February"/>
    <x v="1"/>
  </r>
  <r>
    <d v="2025-06-02T00:00:00"/>
    <s v="Dr. Geeta Choudhary"/>
    <s v="Sumitra Devi"/>
    <n v="14"/>
    <x v="2"/>
    <s v="Dr. Reddyâ€™s"/>
    <s v="AMO0325C"/>
    <d v="2027-03-01T00:00:00"/>
    <n v="112"/>
    <s v="February"/>
    <x v="1"/>
  </r>
  <r>
    <d v="2025-06-02T00:00:00"/>
    <s v="Dr. Rajesh Batra"/>
    <s v="Ram Kumar"/>
    <n v="30"/>
    <x v="3"/>
    <s v="Zydus Cadila"/>
    <s v="CET1224/25"/>
    <d v="2026-04-01T00:00:00"/>
    <n v="90"/>
    <s v="February"/>
    <x v="1"/>
  </r>
  <r>
    <d v="2025-06-02T00:00:00"/>
    <s v="Dr. Satbir Khumber"/>
    <s v="Dinesh Sharma"/>
    <n v="12"/>
    <x v="4"/>
    <s v="Lupin"/>
    <s v="MET1224C"/>
    <d v="2024-12-01T00:00:00"/>
    <n v="48"/>
    <s v="February"/>
    <x v="0"/>
  </r>
  <r>
    <d v="2025-06-02T00:00:00"/>
    <s v="OTC"/>
    <s v="Sahil Chundwal"/>
    <n v="25"/>
    <x v="5"/>
    <s v="Torrent Pharma"/>
    <s v="AML0325B"/>
    <d v="2028-01-01T00:00:00"/>
    <n v="125"/>
    <s v="February"/>
    <x v="1"/>
  </r>
  <r>
    <d v="2025-06-02T00:00:00"/>
    <s v="Dr. Renu Bansal"/>
    <s v="Brijlalal Dhaka"/>
    <n v="7"/>
    <x v="6"/>
    <s v="Alkem Laboratories"/>
    <s v="ATE1224B"/>
    <d v="2027-03-01T00:00:00"/>
    <n v="42"/>
    <s v="February"/>
    <x v="1"/>
  </r>
  <r>
    <d v="2025-07-02T00:00:00"/>
    <s v="Dr. Anshul Sehgal"/>
    <s v="Sita Ram"/>
    <n v="13"/>
    <x v="7"/>
    <s v="Cipla"/>
    <s v="SAL0225C"/>
    <d v="2026-02-01T00:00:00"/>
    <n v="52"/>
    <s v="February"/>
    <x v="1"/>
  </r>
  <r>
    <d v="2025-07-02T00:00:00"/>
    <s v="Dr. Virender Siwach"/>
    <s v="Mandeep Kumar"/>
    <n v="24"/>
    <x v="8"/>
    <s v="Sun Pharma"/>
    <s v="DOX0225X"/>
    <d v="2026-04-01T00:00:00"/>
    <n v="240"/>
    <s v="February"/>
    <x v="1"/>
  </r>
  <r>
    <d v="2025-07-02T00:00:00"/>
    <s v="OTC"/>
    <s v="Amar Burdak"/>
    <n v="4"/>
    <x v="9"/>
    <s v="Mankind Pharma"/>
    <s v="PAN0225A"/>
    <d v="2027-04-01T00:00:00"/>
    <n v="20"/>
    <s v="February"/>
    <x v="1"/>
  </r>
  <r>
    <d v="2025-07-02T00:00:00"/>
    <s v="Dr. Amit Narang"/>
    <s v="Shyam Sunder"/>
    <n v="11"/>
    <x v="10"/>
    <s v="GSK India"/>
    <s v="CRO0425C"/>
    <d v="2024-11-01T00:00:00"/>
    <n v="22"/>
    <s v="February"/>
    <x v="0"/>
  </r>
  <r>
    <d v="2025-07-02T00:00:00"/>
    <s v="Dr. Satbir Khumber"/>
    <s v="Balbir Fageria"/>
    <n v="30"/>
    <x v="11"/>
    <s v="GSK India"/>
    <s v="ENO0325A"/>
    <d v="2026-06-01T00:00:00"/>
    <n v="300"/>
    <s v="February"/>
    <x v="1"/>
  </r>
  <r>
    <d v="2025-07-02T00:00:00"/>
    <s v="OTC"/>
    <s v="Amar Burdak"/>
    <n v="5"/>
    <x v="12"/>
    <s v="Sanofi India"/>
    <s v="BET1224B"/>
    <d v="2026-05-01T00:00:00"/>
    <n v="600"/>
    <s v="February"/>
    <x v="1"/>
  </r>
  <r>
    <d v="2025-07-02T00:00:00"/>
    <s v="Dr. Kamaljeet Sambhyl"/>
    <s v="Mohit Chaberwal"/>
    <n v="4"/>
    <x v="13"/>
    <s v="Mankind Pharma"/>
    <s v="ALB1224/25"/>
    <d v="2027-03-01T00:00:00"/>
    <n v="80"/>
    <s v="February"/>
    <x v="1"/>
  </r>
  <r>
    <d v="2025-07-02T00:00:00"/>
    <s v="Dr. Satbir Khumber"/>
    <s v="Dinesh Sharma"/>
    <n v="14"/>
    <x v="14"/>
    <s v="Pfizer India"/>
    <s v="OXY0325B"/>
    <d v="2027-05-01T00:00:00"/>
    <n v="420"/>
    <s v="February"/>
    <x v="1"/>
  </r>
  <r>
    <d v="2025-08-02T00:00:00"/>
    <s v="Dr. Satbir Khumber"/>
    <s v="Santosh Rani"/>
    <n v="8"/>
    <x v="15"/>
    <s v="Abbott India"/>
    <s v="ENR1224C"/>
    <d v="2026-06-01T00:00:00"/>
    <n v="320"/>
    <s v="February"/>
    <x v="1"/>
  </r>
  <r>
    <d v="2025-08-02T00:00:00"/>
    <s v="OTC"/>
    <s v="Mandeep Kumar"/>
    <n v="19"/>
    <x v="16"/>
    <s v="Sun Pharma"/>
    <s v="IVE0125A"/>
    <d v="2026-08-01T00:00:00"/>
    <n v="950"/>
    <s v="February"/>
    <x v="1"/>
  </r>
  <r>
    <d v="2025-08-02T00:00:00"/>
    <s v="OTC"/>
    <s v="Sanjay Riwar"/>
    <n v="8"/>
    <x v="0"/>
    <s v="Cipla"/>
    <s v="PAR0325/25"/>
    <d v="2027-04-01T00:00:00"/>
    <n v="16"/>
    <s v="February"/>
    <x v="1"/>
  </r>
  <r>
    <d v="2025-08-02T00:00:00"/>
    <s v="Dr. Ramphal Dhaka"/>
    <s v="Dinesh Sharma"/>
    <n v="10"/>
    <x v="1"/>
    <s v="Sun Pharma"/>
    <s v="IBU0225/25"/>
    <d v="2024-07-01T00:00:00"/>
    <n v="30"/>
    <s v="February"/>
    <x v="0"/>
  </r>
  <r>
    <d v="2025-08-02T00:00:00"/>
    <s v="OTC"/>
    <s v="Ramkla Devi"/>
    <n v="19"/>
    <x v="2"/>
    <s v="Dr. Reddyâ€™s"/>
    <s v="AMO1224B"/>
    <d v="2026-06-01T00:00:00"/>
    <n v="152"/>
    <s v="February"/>
    <x v="1"/>
  </r>
  <r>
    <d v="2025-08-02T00:00:00"/>
    <s v="OTC"/>
    <s v="Sahil Chundwal"/>
    <n v="23"/>
    <x v="3"/>
    <s v="Zydus Cadila"/>
    <s v="CET0225A"/>
    <d v="2027-12-01T00:00:00"/>
    <n v="69"/>
    <s v="February"/>
    <x v="1"/>
  </r>
  <r>
    <d v="2025-08-02T00:00:00"/>
    <s v="Dr. Sameer Tuteja"/>
    <s v="Pawan Khakhal"/>
    <n v="11"/>
    <x v="4"/>
    <s v="Lupin"/>
    <s v="MET0125C"/>
    <d v="2026-01-01T00:00:00"/>
    <n v="44"/>
    <s v="February"/>
    <x v="1"/>
  </r>
  <r>
    <d v="2025-08-02T00:00:00"/>
    <s v="Dr. Ramphal Dhaka"/>
    <s v="Dinesh Sharma"/>
    <n v="18"/>
    <x v="5"/>
    <s v="Torrent Pharma"/>
    <s v="AML1224X"/>
    <d v="2027-11-01T00:00:00"/>
    <n v="90"/>
    <s v="February"/>
    <x v="1"/>
  </r>
  <r>
    <d v="2025-09-02T00:00:00"/>
    <s v="Dr. Geeta Choudhary"/>
    <s v="Mandeep Kumar"/>
    <n v="4"/>
    <x v="6"/>
    <s v="Alkem Laboratories"/>
    <s v="ATE0225/25"/>
    <d v="2028-01-01T00:00:00"/>
    <n v="24"/>
    <s v="February"/>
    <x v="1"/>
  </r>
  <r>
    <d v="2025-09-02T00:00:00"/>
    <s v="Dr. Renu Bansal"/>
    <s v="Manisha Rani"/>
    <n v="11"/>
    <x v="7"/>
    <s v="Cipla"/>
    <s v="SAL0425A"/>
    <d v="2026-04-01T00:00:00"/>
    <n v="44"/>
    <s v="February"/>
    <x v="1"/>
  </r>
  <r>
    <d v="2025-09-02T00:00:00"/>
    <s v="OTC"/>
    <s v="Amit Dhaka"/>
    <n v="24"/>
    <x v="8"/>
    <s v="Sun Pharma"/>
    <s v="DOX0425B"/>
    <d v="2026-11-01T00:00:00"/>
    <n v="240"/>
    <s v="February"/>
    <x v="1"/>
  </r>
  <r>
    <d v="2025-09-02T00:00:00"/>
    <s v="Dr. HC Dahiya"/>
    <s v="Chander Bhan"/>
    <n v="2"/>
    <x v="9"/>
    <s v="Mankind Pharma"/>
    <s v="PAN0425B"/>
    <d v="2026-05-01T00:00:00"/>
    <n v="10"/>
    <s v="February"/>
    <x v="1"/>
  </r>
  <r>
    <d v="2025-09-02T00:00:00"/>
    <s v="OTC"/>
    <s v="Umesh Kumar"/>
    <n v="28"/>
    <x v="10"/>
    <s v="GSK India"/>
    <s v="CRO0225B"/>
    <d v="2024-09-01T00:00:00"/>
    <n v="56"/>
    <s v="February"/>
    <x v="0"/>
  </r>
  <r>
    <d v="2025-09-02T00:00:00"/>
    <s v="Dr. HC Dahiya"/>
    <s v="Sanjay Riwar"/>
    <n v="15"/>
    <x v="11"/>
    <s v="GSK India"/>
    <s v="ENO0325B"/>
    <d v="2026-05-01T00:00:00"/>
    <n v="150"/>
    <s v="February"/>
    <x v="1"/>
  </r>
  <r>
    <d v="2025-09-02T00:00:00"/>
    <s v="OTC"/>
    <s v="Naseeb Khakhal"/>
    <n v="26"/>
    <x v="12"/>
    <s v="Sanofi India"/>
    <s v="BET0325A"/>
    <d v="2026-08-01T00:00:00"/>
    <n v="3120"/>
    <s v="February"/>
    <x v="1"/>
  </r>
  <r>
    <d v="2025-09-02T00:00:00"/>
    <s v="OTC"/>
    <s v="Naseeb Khakhal"/>
    <n v="11"/>
    <x v="13"/>
    <s v="Mankind Pharma"/>
    <s v="ALB0425/25"/>
    <d v="2027-06-01T00:00:00"/>
    <n v="220"/>
    <s v="February"/>
    <x v="1"/>
  </r>
  <r>
    <d v="2025-10-02T00:00:00"/>
    <s v="Dr. HC Dahiya"/>
    <s v="Randhir Fageria"/>
    <n v="28"/>
    <x v="14"/>
    <s v="Pfizer India"/>
    <s v="OXY0125B"/>
    <d v="2027-05-01T00:00:00"/>
    <n v="840"/>
    <s v="February"/>
    <x v="1"/>
  </r>
  <r>
    <d v="2025-10-02T00:00:00"/>
    <s v="Dr. Vinay Singla"/>
    <s v="Baljinder Singh"/>
    <n v="10"/>
    <x v="15"/>
    <s v="Abbott India"/>
    <s v="ENR0125B"/>
    <d v="2026-07-01T00:00:00"/>
    <n v="400"/>
    <s v="February"/>
    <x v="1"/>
  </r>
  <r>
    <d v="2025-10-02T00:00:00"/>
    <s v="Dr. Vinay Singla"/>
    <s v="Ankit Bhadu"/>
    <n v="25"/>
    <x v="16"/>
    <s v="Sun Pharma"/>
    <s v="IVE0425X"/>
    <d v="2026-08-01T00:00:00"/>
    <n v="1250"/>
    <s v="February"/>
    <x v="1"/>
  </r>
  <r>
    <d v="2025-10-02T00:00:00"/>
    <s v="Dr. HC Dahiya"/>
    <s v="Pawan Khakhal"/>
    <n v="5"/>
    <x v="0"/>
    <s v="Cipla"/>
    <s v="PAR0125X"/>
    <d v="2027-02-01T00:00:00"/>
    <n v="10"/>
    <s v="February"/>
    <x v="1"/>
  </r>
  <r>
    <d v="2025-10-02T00:00:00"/>
    <s v="Dr. Geeta Choudhary"/>
    <s v="Sahil Chundwal"/>
    <n v="14"/>
    <x v="1"/>
    <s v="Sun Pharma"/>
    <s v="IBU1224B"/>
    <d v="2024-03-01T00:00:00"/>
    <n v="42"/>
    <s v="February"/>
    <x v="0"/>
  </r>
  <r>
    <d v="2025-10-02T00:00:00"/>
    <s v="OTC"/>
    <s v="Sanjay Riwar"/>
    <n v="25"/>
    <x v="2"/>
    <s v="Dr. Reddyâ€™s"/>
    <s v="AMO0425/25"/>
    <d v="2026-10-01T00:00:00"/>
    <n v="200"/>
    <s v="February"/>
    <x v="1"/>
  </r>
  <r>
    <d v="2025-10-02T00:00:00"/>
    <s v="Dr. Satbir Khumber"/>
    <s v="Raman Dhaka"/>
    <n v="23"/>
    <x v="3"/>
    <s v="Zydus Cadila"/>
    <s v="CET0225B"/>
    <d v="2027-01-01T00:00:00"/>
    <n v="69"/>
    <s v="February"/>
    <x v="1"/>
  </r>
  <r>
    <d v="2025-10-02T00:00:00"/>
    <s v="Dr. Manohar Pahuja"/>
    <s v="Sube Ram"/>
    <n v="26"/>
    <x v="4"/>
    <s v="Lupin"/>
    <s v="MET0325X"/>
    <d v="2027-12-01T00:00:00"/>
    <n v="104"/>
    <s v="February"/>
    <x v="1"/>
  </r>
  <r>
    <d v="2025-11-02T00:00:00"/>
    <s v="Dr. Ramphal Dhaka"/>
    <s v="Randhir Fageria"/>
    <n v="30"/>
    <x v="5"/>
    <s v="Torrent Pharma"/>
    <s v="AML0225/25"/>
    <d v="2027-07-01T00:00:00"/>
    <n v="150"/>
    <s v="February"/>
    <x v="1"/>
  </r>
  <r>
    <d v="2025-11-02T00:00:00"/>
    <s v="OTC"/>
    <s v="Santosh Rani"/>
    <n v="13"/>
    <x v="6"/>
    <s v="Alkem Laboratories"/>
    <s v="ATE0225B"/>
    <d v="2027-11-01T00:00:00"/>
    <n v="78"/>
    <s v="February"/>
    <x v="1"/>
  </r>
  <r>
    <d v="2025-11-02T00:00:00"/>
    <s v="Dr. Kamaljeet Sambhyl"/>
    <s v="Sahil Chundwal"/>
    <n v="21"/>
    <x v="7"/>
    <s v="Cipla"/>
    <s v="SAL0425B"/>
    <d v="2026-11-01T00:00:00"/>
    <n v="84"/>
    <s v="February"/>
    <x v="1"/>
  </r>
  <r>
    <d v="2025-11-02T00:00:00"/>
    <s v="Dr. Satbir Khumber"/>
    <s v="Radhe Shaym"/>
    <n v="22"/>
    <x v="8"/>
    <s v="Sun Pharma"/>
    <s v="DOX0125C"/>
    <d v="2024-06-01T00:00:00"/>
    <n v="220"/>
    <s v="February"/>
    <x v="0"/>
  </r>
  <r>
    <d v="2025-11-02T00:00:00"/>
    <s v="Dr. Virender Siwach"/>
    <s v="Dinesh Sharma"/>
    <n v="6"/>
    <x v="9"/>
    <s v="Mankind Pharma"/>
    <s v="PAN0425/25"/>
    <d v="2027-09-01T00:00:00"/>
    <n v="30"/>
    <s v="February"/>
    <x v="1"/>
  </r>
  <r>
    <d v="2025-11-02T00:00:00"/>
    <s v="OTC"/>
    <s v="Sanjay Riwar"/>
    <n v="5"/>
    <x v="10"/>
    <s v="GSK India"/>
    <s v="CRO0425A"/>
    <d v="2026-09-01T00:00:00"/>
    <n v="10"/>
    <s v="February"/>
    <x v="1"/>
  </r>
  <r>
    <d v="2025-11-02T00:00:00"/>
    <s v="Dr. Amit Narang"/>
    <s v="Sita Ram"/>
    <n v="29"/>
    <x v="11"/>
    <s v="GSK India"/>
    <s v="ENO0425/25"/>
    <d v="2027-07-01T00:00:00"/>
    <n v="290"/>
    <s v="February"/>
    <x v="1"/>
  </r>
  <r>
    <d v="2025-11-02T00:00:00"/>
    <s v="Dr. Manohar Pahuja"/>
    <s v="Yogesh Khicher"/>
    <n v="27"/>
    <x v="12"/>
    <s v="Sanofi India"/>
    <s v="BET1224C"/>
    <d v="2027-11-01T00:00:00"/>
    <n v="3240"/>
    <s v="February"/>
    <x v="1"/>
  </r>
  <r>
    <d v="2025-12-02T00:00:00"/>
    <s v="Dr. Geeta Choudhary"/>
    <s v="Sita Ram"/>
    <n v="13"/>
    <x v="13"/>
    <s v="Mankind Pharma"/>
    <s v="ALB0225/25"/>
    <d v="2027-12-01T00:00:00"/>
    <n v="260"/>
    <s v="February"/>
    <x v="1"/>
  </r>
  <r>
    <d v="2025-12-02T00:00:00"/>
    <s v="OTC"/>
    <s v="Naseeb Khakhal"/>
    <n v="7"/>
    <x v="14"/>
    <s v="Pfizer India"/>
    <s v="OXY0325C"/>
    <d v="2023-05-01T00:00:00"/>
    <n v="210"/>
    <s v="February"/>
    <x v="0"/>
  </r>
  <r>
    <d v="2025-12-02T00:00:00"/>
    <s v="Dr. Geeta Choudhary"/>
    <s v="Kuldeep Singh"/>
    <n v="12"/>
    <x v="15"/>
    <s v="Abbott India"/>
    <s v="ENR0225/25"/>
    <d v="2026-07-01T00:00:00"/>
    <n v="480"/>
    <s v="February"/>
    <x v="1"/>
  </r>
  <r>
    <d v="2025-12-02T00:00:00"/>
    <s v="Dr. Virender Siwach"/>
    <s v="Naseeb Khakhal"/>
    <n v="23"/>
    <x v="16"/>
    <s v="Sun Pharma"/>
    <s v="IVE0325C"/>
    <d v="2026-07-01T00:00:00"/>
    <n v="1150"/>
    <s v="February"/>
    <x v="1"/>
  </r>
  <r>
    <d v="2025-12-02T00:00:00"/>
    <s v="Dr. Virender Siwach"/>
    <s v="Shishpal Sharma"/>
    <n v="26"/>
    <x v="0"/>
    <s v="Cipla"/>
    <s v="PAR0425X"/>
    <d v="2026-04-01T00:00:00"/>
    <n v="52"/>
    <s v="February"/>
    <x v="1"/>
  </r>
  <r>
    <d v="2025-12-02T00:00:00"/>
    <s v="Dr. Sameer Tuteja"/>
    <s v="Chander Bhan"/>
    <n v="13"/>
    <x v="1"/>
    <s v="Sun Pharma"/>
    <s v="IBU1224B"/>
    <d v="2027-06-01T00:00:00"/>
    <n v="39"/>
    <s v="February"/>
    <x v="1"/>
  </r>
  <r>
    <d v="2025-12-02T00:00:00"/>
    <s v="OTC"/>
    <s v="Sahil Chundwal"/>
    <n v="10"/>
    <x v="2"/>
    <s v="Dr. Reddyâ€™s"/>
    <s v="AMO0325A"/>
    <d v="2027-12-01T00:00:00"/>
    <n v="80"/>
    <s v="February"/>
    <x v="1"/>
  </r>
  <r>
    <d v="2025-12-02T00:00:00"/>
    <s v="Dr. Geeta Choudhary"/>
    <s v="Chander Bhan"/>
    <n v="15"/>
    <x v="3"/>
    <s v="Zydus Cadila"/>
    <s v="CET0325C"/>
    <d v="2027-12-01T00:00:00"/>
    <n v="45"/>
    <s v="February"/>
    <x v="1"/>
  </r>
  <r>
    <s v="02-13-2025"/>
    <s v="Dr. Satbir Khumber"/>
    <s v="Sumit Kumar"/>
    <n v="11"/>
    <x v="4"/>
    <s v="Lupin"/>
    <s v="MET0125X"/>
    <d v="2026-04-01T00:00:00"/>
    <n v="44"/>
    <s v="February"/>
    <x v="1"/>
  </r>
  <r>
    <s v="02-13-2025"/>
    <s v="Dr. Ramphal Dhaka"/>
    <s v="Brijlalal Dhaka"/>
    <n v="13"/>
    <x v="5"/>
    <s v="Torrent Pharma"/>
    <s v="AML0425C"/>
    <d v="2024-08-01T00:00:00"/>
    <n v="65"/>
    <s v="February"/>
    <x v="0"/>
  </r>
  <r>
    <s v="02-13-2025"/>
    <s v="Dr. Renu Bansal"/>
    <s v="Sube Ram"/>
    <n v="1"/>
    <x v="6"/>
    <s v="Alkem Laboratories"/>
    <s v="ATE0425C"/>
    <d v="2026-08-01T00:00:00"/>
    <n v="6"/>
    <s v="February"/>
    <x v="1"/>
  </r>
  <r>
    <s v="02-13-2025"/>
    <s v="Dr. Vinay Singla"/>
    <s v="Ankit Bhadu"/>
    <n v="3"/>
    <x v="7"/>
    <s v="Cipla"/>
    <s v="SAL0225C"/>
    <d v="2026-12-01T00:00:00"/>
    <n v="12"/>
    <s v="February"/>
    <x v="1"/>
  </r>
  <r>
    <s v="02-13-2025"/>
    <s v="Dr. Sameer Tuteja"/>
    <s v="Shishpal Sharma"/>
    <n v="29"/>
    <x v="8"/>
    <s v="Sun Pharma"/>
    <s v="DOX1224C"/>
    <d v="2027-05-01T00:00:00"/>
    <n v="290"/>
    <s v="February"/>
    <x v="1"/>
  </r>
  <r>
    <s v="02-13-2025"/>
    <s v="OTC"/>
    <s v="Radhe Shaym"/>
    <n v="29"/>
    <x v="9"/>
    <s v="Mankind Pharma"/>
    <s v="PAN0325C"/>
    <d v="2026-05-01T00:00:00"/>
    <n v="145"/>
    <s v="February"/>
    <x v="1"/>
  </r>
  <r>
    <s v="02-13-2025"/>
    <s v="Dr. Anshul Sehgal"/>
    <s v="Amar Burdak"/>
    <n v="30"/>
    <x v="10"/>
    <s v="GSK India"/>
    <s v="CRO0425X"/>
    <d v="2023-11-01T00:00:00"/>
    <n v="60"/>
    <s v="February"/>
    <x v="0"/>
  </r>
  <r>
    <s v="02-13-2025"/>
    <s v="Dr. Vinay Singla"/>
    <s v="Sita Ram"/>
    <n v="26"/>
    <x v="11"/>
    <s v="GSK India"/>
    <s v="ENO0225X"/>
    <d v="2027-12-01T00:00:00"/>
    <n v="260"/>
    <s v="February"/>
    <x v="1"/>
  </r>
  <r>
    <s v="02-14-2025"/>
    <s v="Dr. Rajesh Batra"/>
    <s v="Ramkla Devi"/>
    <n v="8"/>
    <x v="12"/>
    <s v="Sanofi India"/>
    <s v="BET0225A"/>
    <d v="2028-01-01T00:00:00"/>
    <n v="960"/>
    <s v="February"/>
    <x v="1"/>
  </r>
  <r>
    <s v="02-14-2025"/>
    <s v="OTC"/>
    <s v="Sumit Kumar"/>
    <n v="24"/>
    <x v="13"/>
    <s v="Mankind Pharma"/>
    <s v="ALB0325X"/>
    <d v="2026-07-01T00:00:00"/>
    <n v="480"/>
    <s v="February"/>
    <x v="1"/>
  </r>
  <r>
    <s v="02-14-2025"/>
    <s v="OTC"/>
    <s v="Ramkla Devi"/>
    <n v="22"/>
    <x v="14"/>
    <s v="Pfizer India"/>
    <s v="OXY0125B"/>
    <d v="2027-06-01T00:00:00"/>
    <n v="660"/>
    <s v="February"/>
    <x v="1"/>
  </r>
  <r>
    <s v="02-14-2025"/>
    <s v="Dr. Kamaljeet Sambhyl"/>
    <s v="Manisha Rani"/>
    <n v="28"/>
    <x v="15"/>
    <s v="Abbott India"/>
    <s v="ENR0125/25"/>
    <d v="2025-01-01T00:00:00"/>
    <n v="1120"/>
    <s v="February"/>
    <x v="0"/>
  </r>
  <r>
    <s v="02-14-2025"/>
    <s v="Dr. Ramphal Dhaka"/>
    <s v="Sita Ram"/>
    <n v="21"/>
    <x v="16"/>
    <s v="Sun Pharma"/>
    <s v="IVE0325A"/>
    <d v="2026-11-01T00:00:00"/>
    <n v="1050"/>
    <s v="February"/>
    <x v="1"/>
  </r>
  <r>
    <s v="02-14-2025"/>
    <s v="Dr. Virender Siwach"/>
    <s v="Balbir Fageria"/>
    <n v="23"/>
    <x v="0"/>
    <s v="Cipla"/>
    <s v="PAR0225/25"/>
    <d v="2026-07-01T00:00:00"/>
    <n v="46"/>
    <s v="February"/>
    <x v="1"/>
  </r>
  <r>
    <s v="02-14-2025"/>
    <s v="OTC"/>
    <s v="Manisha Rani"/>
    <n v="15"/>
    <x v="1"/>
    <s v="Sun Pharma"/>
    <s v="IBU0125/25"/>
    <d v="2026-08-01T00:00:00"/>
    <n v="45"/>
    <s v="February"/>
    <x v="1"/>
  </r>
  <r>
    <s v="02-14-2025"/>
    <s v="OTC"/>
    <s v="Naseeb Khakhal"/>
    <n v="28"/>
    <x v="2"/>
    <s v="Dr. Reddyâ€™s"/>
    <s v="AMO0325/25"/>
    <d v="2028-01-01T00:00:00"/>
    <n v="224"/>
    <s v="February"/>
    <x v="1"/>
  </r>
  <r>
    <s v="02-15-2025"/>
    <s v="Dr. Virender Siwach"/>
    <s v="Sumitra Devi"/>
    <n v="2"/>
    <x v="3"/>
    <s v="Zydus Cadila"/>
    <s v="CET0425B"/>
    <d v="2024-09-01T00:00:00"/>
    <n v="6"/>
    <s v="February"/>
    <x v="0"/>
  </r>
  <r>
    <s v="02-15-2025"/>
    <s v="Dr. Kamaljeet Sambhyl"/>
    <s v="Raman Dhaka"/>
    <n v="9"/>
    <x v="4"/>
    <s v="Lupin"/>
    <s v="MET0125A"/>
    <d v="2027-08-01T00:00:00"/>
    <n v="36"/>
    <s v="February"/>
    <x v="1"/>
  </r>
  <r>
    <s v="02-15-2025"/>
    <s v="OTC"/>
    <s v="Dinesh Sharma"/>
    <n v="25"/>
    <x v="5"/>
    <s v="Torrent Pharma"/>
    <s v="AML0325A"/>
    <d v="2026-04-01T00:00:00"/>
    <n v="125"/>
    <s v="February"/>
    <x v="1"/>
  </r>
  <r>
    <s v="02-15-2025"/>
    <s v="Dr. Manohar Pahuja"/>
    <s v="Manisha Rani"/>
    <n v="29"/>
    <x v="6"/>
    <s v="Alkem Laboratories"/>
    <s v="ATE0225A"/>
    <d v="2027-11-01T00:00:00"/>
    <n v="174"/>
    <s v="February"/>
    <x v="1"/>
  </r>
  <r>
    <s v="02-15-2025"/>
    <s v="OTC"/>
    <s v="Mohit Chaberwal"/>
    <n v="7"/>
    <x v="7"/>
    <s v="Cipla"/>
    <s v="SAL1224X"/>
    <d v="2026-03-01T00:00:00"/>
    <n v="28"/>
    <s v="February"/>
    <x v="1"/>
  </r>
  <r>
    <s v="02-15-2025"/>
    <s v="OTC"/>
    <s v="Dinesh Sharma"/>
    <n v="19"/>
    <x v="8"/>
    <s v="Sun Pharma"/>
    <s v="DOX0225C"/>
    <d v="2026-10-01T00:00:00"/>
    <n v="190"/>
    <s v="February"/>
    <x v="1"/>
  </r>
  <r>
    <s v="02-15-2025"/>
    <s v="Dr. Kamaljeet Sambhyl"/>
    <s v="Krishan Singh"/>
    <n v="23"/>
    <x v="9"/>
    <s v="Mankind Pharma"/>
    <s v="PAN0425C"/>
    <d v="2027-05-01T00:00:00"/>
    <n v="115"/>
    <s v="February"/>
    <x v="1"/>
  </r>
  <r>
    <s v="02-15-2025"/>
    <s v="Dr. Virender Siwach"/>
    <s v="Baljinder Singh"/>
    <n v="21"/>
    <x v="10"/>
    <s v="GSK India"/>
    <s v="CRO0425/25"/>
    <d v="2027-12-01T00:00:00"/>
    <n v="42"/>
    <s v="February"/>
    <x v="1"/>
  </r>
  <r>
    <s v="02-16-2025"/>
    <s v="Dr. HC Dahiya"/>
    <s v="Krishan Singh"/>
    <n v="29"/>
    <x v="11"/>
    <s v="GSK India"/>
    <s v="ENO0325/25"/>
    <d v="2026-09-01T00:00:00"/>
    <n v="290"/>
    <s v="February"/>
    <x v="1"/>
  </r>
  <r>
    <s v="02-16-2025"/>
    <s v="Dr. Anshul Sehgal"/>
    <s v="Dinesh Sharma"/>
    <n v="23"/>
    <x v="12"/>
    <s v="Sanofi India"/>
    <s v="BET0425B"/>
    <d v="2024-07-01T00:00:00"/>
    <n v="2760"/>
    <s v="February"/>
    <x v="0"/>
  </r>
  <r>
    <s v="02-16-2025"/>
    <s v="Dr. Rajesh Batra"/>
    <s v="Manisha Rani"/>
    <n v="1"/>
    <x v="13"/>
    <s v="Mankind Pharma"/>
    <s v="ALB0225B"/>
    <d v="2027-06-01T00:00:00"/>
    <n v="20"/>
    <s v="February"/>
    <x v="1"/>
  </r>
  <r>
    <s v="02-16-2025"/>
    <s v="Dr. Ramphal Dhaka"/>
    <s v="Amit Dhaka"/>
    <n v="14"/>
    <x v="14"/>
    <s v="Pfizer India"/>
    <s v="OXY0325C"/>
    <d v="2026-12-01T00:00:00"/>
    <n v="420"/>
    <s v="February"/>
    <x v="1"/>
  </r>
  <r>
    <s v="02-16-2025"/>
    <s v="Dr. Kamaljeet Sambhyl"/>
    <s v="Ravi Dhaka"/>
    <n v="3"/>
    <x v="15"/>
    <s v="Abbott India"/>
    <s v="ENR0225A"/>
    <d v="2026-02-01T00:00:00"/>
    <n v="120"/>
    <s v="February"/>
    <x v="1"/>
  </r>
  <r>
    <s v="02-16-2025"/>
    <s v="Dr. Anshul Sehgal"/>
    <s v="Mandeep Kumar"/>
    <n v="27"/>
    <x v="16"/>
    <s v="Sun Pharma"/>
    <s v="IVE0425X"/>
    <d v="2026-08-01T00:00:00"/>
    <n v="1350"/>
    <s v="February"/>
    <x v="1"/>
  </r>
  <r>
    <s v="02-16-2025"/>
    <s v="OTC"/>
    <s v="Hari Singh"/>
    <n v="23"/>
    <x v="0"/>
    <s v="Cipla"/>
    <s v="PAR0425X"/>
    <d v="2027-03-01T00:00:00"/>
    <n v="46"/>
    <s v="February"/>
    <x v="1"/>
  </r>
  <r>
    <s v="02-16-2025"/>
    <s v="Dr. Rajesh Batra"/>
    <s v="Ram Kumar"/>
    <n v="30"/>
    <x v="1"/>
    <s v="Sun Pharma"/>
    <s v="IBU0225B"/>
    <d v="2024-11-01T00:00:00"/>
    <n v="90"/>
    <s v="February"/>
    <x v="0"/>
  </r>
  <r>
    <s v="02-17-2025"/>
    <s v="Dr. Virender Siwach"/>
    <s v="Amar Burdak"/>
    <n v="23"/>
    <x v="2"/>
    <s v="Dr. Reddyâ€™s"/>
    <s v="AMO0225X"/>
    <d v="2026-09-01T00:00:00"/>
    <n v="184"/>
    <s v="February"/>
    <x v="1"/>
  </r>
  <r>
    <s v="02-17-2025"/>
    <s v="Dr. Satbir Khumber"/>
    <s v="Randhir Fageria"/>
    <n v="19"/>
    <x v="3"/>
    <s v="Zydus Cadila"/>
    <s v="CET0225C"/>
    <d v="2026-09-01T00:00:00"/>
    <n v="57"/>
    <s v="February"/>
    <x v="1"/>
  </r>
  <r>
    <s v="02-17-2025"/>
    <s v="OTC"/>
    <s v="Ramkla Devi"/>
    <n v="23"/>
    <x v="4"/>
    <s v="Lupin"/>
    <s v="MET0225X"/>
    <d v="2027-04-01T00:00:00"/>
    <n v="92"/>
    <s v="February"/>
    <x v="1"/>
  </r>
  <r>
    <s v="02-17-2025"/>
    <s v="Dr. Vinay Singla"/>
    <s v="Ram Kumar"/>
    <n v="8"/>
    <x v="5"/>
    <s v="Torrent Pharma"/>
    <s v="AML0225B"/>
    <d v="2027-11-01T00:00:00"/>
    <n v="40"/>
    <s v="February"/>
    <x v="1"/>
  </r>
  <r>
    <s v="02-17-2025"/>
    <s v="OTC"/>
    <s v="Sumitra Devi"/>
    <n v="22"/>
    <x v="6"/>
    <s v="Alkem Laboratories"/>
    <s v="ATE1224X"/>
    <d v="2026-12-01T00:00:00"/>
    <n v="132"/>
    <s v="February"/>
    <x v="1"/>
  </r>
  <r>
    <s v="02-17-2025"/>
    <s v="OTC"/>
    <s v="Tamanna Dhaka"/>
    <n v="19"/>
    <x v="7"/>
    <s v="Cipla"/>
    <s v="SAL0325B"/>
    <d v="2024-12-01T00:00:00"/>
    <n v="76"/>
    <s v="February"/>
    <x v="0"/>
  </r>
  <r>
    <s v="02-17-2025"/>
    <s v="Dr. HC Dahiya"/>
    <s v="Raman Dhaka"/>
    <n v="15"/>
    <x v="8"/>
    <s v="Sun Pharma"/>
    <s v="DOX0325B"/>
    <d v="2026-06-01T00:00:00"/>
    <n v="150"/>
    <s v="February"/>
    <x v="1"/>
  </r>
  <r>
    <s v="02-17-2025"/>
    <s v="Dr. Satbir Khumber"/>
    <s v="Radhe Shaym"/>
    <n v="19"/>
    <x v="9"/>
    <s v="Mankind Pharma"/>
    <s v="PAN0225A"/>
    <d v="2027-02-01T00:00:00"/>
    <n v="95"/>
    <s v="February"/>
    <x v="1"/>
  </r>
  <r>
    <s v="02-18-2025"/>
    <s v="Dr. Kamaljeet Sambhyl"/>
    <s v="Shyam Sunder"/>
    <n v="24"/>
    <x v="10"/>
    <s v="GSK India"/>
    <s v="CRO1224/25"/>
    <d v="2026-08-01T00:00:00"/>
    <n v="48"/>
    <s v="February"/>
    <x v="1"/>
  </r>
  <r>
    <s v="02-18-2025"/>
    <s v="OTC"/>
    <s v="Umesh Kumar"/>
    <n v="15"/>
    <x v="11"/>
    <s v="GSK India"/>
    <s v="ENO0425B"/>
    <d v="2028-02-01T00:00:00"/>
    <n v="150"/>
    <s v="February"/>
    <x v="1"/>
  </r>
  <r>
    <s v="02-18-2025"/>
    <s v="Dr. Vinay Singla"/>
    <s v="Randhir Fageria"/>
    <n v="2"/>
    <x v="12"/>
    <s v="Sanofi India"/>
    <s v="BET0425C"/>
    <d v="2026-07-01T00:00:00"/>
    <n v="240"/>
    <s v="February"/>
    <x v="1"/>
  </r>
  <r>
    <s v="02-18-2025"/>
    <s v="Dr. Ramphal Dhaka"/>
    <s v="Yogesh Khicher"/>
    <n v="1"/>
    <x v="13"/>
    <s v="Mankind Pharma"/>
    <s v="ALB0425B"/>
    <d v="2027-04-01T00:00:00"/>
    <n v="20"/>
    <s v="February"/>
    <x v="1"/>
  </r>
  <r>
    <s v="02-18-2025"/>
    <s v="Dr. Geeta Choudhary"/>
    <s v="Sumit Kumar"/>
    <n v="5"/>
    <x v="14"/>
    <s v="Pfizer India"/>
    <s v="OXY0225B"/>
    <d v="2026-07-01T00:00:00"/>
    <n v="150"/>
    <s v="February"/>
    <x v="1"/>
  </r>
  <r>
    <s v="02-18-2025"/>
    <s v="OTC"/>
    <s v="Tamanna Dhaka"/>
    <n v="28"/>
    <x v="15"/>
    <s v="Abbott India"/>
    <s v="ENR0425X"/>
    <d v="2026-09-01T00:00:00"/>
    <n v="1120"/>
    <s v="February"/>
    <x v="1"/>
  </r>
  <r>
    <s v="02-18-2025"/>
    <s v="Dr. Ramphal Dhaka"/>
    <s v="Krishan Singh"/>
    <n v="16"/>
    <x v="16"/>
    <s v="Sun Pharma"/>
    <s v="IVE0325B"/>
    <d v="2024-08-01T00:00:00"/>
    <n v="800"/>
    <s v="February"/>
    <x v="0"/>
  </r>
  <r>
    <s v="02-18-2025"/>
    <s v="Dr. Amit Narang"/>
    <s v="Radhe Shaym"/>
    <n v="5"/>
    <x v="0"/>
    <s v="Cipla"/>
    <s v="PAR0225B"/>
    <d v="2028-01-01T00:00:00"/>
    <n v="10"/>
    <s v="February"/>
    <x v="1"/>
  </r>
  <r>
    <s v="02-19-2025"/>
    <s v="Dr. Vinay Singla"/>
    <s v="Kuldeep Singh"/>
    <n v="18"/>
    <x v="1"/>
    <s v="Sun Pharma"/>
    <s v="IBU1224C"/>
    <d v="2026-07-01T00:00:00"/>
    <n v="54"/>
    <s v="February"/>
    <x v="1"/>
  </r>
  <r>
    <s v="02-19-2025"/>
    <s v="Dr. Virender Siwach"/>
    <s v="Amar Burdak"/>
    <n v="8"/>
    <x v="2"/>
    <s v="Dr. Reddyâ€™s"/>
    <s v="AMO1224X"/>
    <d v="2026-01-01T00:00:00"/>
    <n v="64"/>
    <s v="February"/>
    <x v="1"/>
  </r>
  <r>
    <s v="02-19-2025"/>
    <s v="Dr. Vinay Singla"/>
    <s v="Baljinder Singh"/>
    <n v="18"/>
    <x v="3"/>
    <s v="Zydus Cadila"/>
    <s v="CET0325X"/>
    <d v="2026-08-01T00:00:00"/>
    <n v="54"/>
    <s v="February"/>
    <x v="1"/>
  </r>
  <r>
    <s v="02-19-2025"/>
    <s v="Dr. Virender Siwach"/>
    <s v="Sumitra Devi"/>
    <n v="14"/>
    <x v="4"/>
    <s v="Lupin"/>
    <s v="MET1224/25"/>
    <d v="2026-02-01T00:00:00"/>
    <n v="56"/>
    <s v="February"/>
    <x v="1"/>
  </r>
  <r>
    <s v="02-19-2025"/>
    <s v="Dr. HC Dahiya"/>
    <s v="Sumit Kumar"/>
    <n v="9"/>
    <x v="5"/>
    <s v="Torrent Pharma"/>
    <s v="AML0325B"/>
    <d v="2026-07-01T00:00:00"/>
    <n v="45"/>
    <s v="February"/>
    <x v="1"/>
  </r>
  <r>
    <s v="02-19-2025"/>
    <s v="Dr. Renu Bansal"/>
    <s v="Santosh Rani"/>
    <n v="27"/>
    <x v="6"/>
    <s v="Alkem Laboratories"/>
    <s v="ATE1224A"/>
    <d v="2024-02-01T00:00:00"/>
    <n v="162"/>
    <s v="February"/>
    <x v="0"/>
  </r>
  <r>
    <s v="02-19-2025"/>
    <s v="Dr. Renu Bansal"/>
    <s v="Shyam Sunder"/>
    <n v="28"/>
    <x v="7"/>
    <s v="Cipla"/>
    <s v="SAL0425/25"/>
    <d v="2028-01-01T00:00:00"/>
    <n v="112"/>
    <s v="February"/>
    <x v="1"/>
  </r>
  <r>
    <s v="02-19-2025"/>
    <s v="Dr. Ramphal Dhaka"/>
    <s v="Balbir Fageria"/>
    <n v="22"/>
    <x v="8"/>
    <s v="Sun Pharma"/>
    <s v="DOX0325X"/>
    <d v="2026-05-01T00:00:00"/>
    <n v="220"/>
    <s v="February"/>
    <x v="1"/>
  </r>
  <r>
    <s v="02-20-2025"/>
    <s v="Dr. HC Dahiya"/>
    <s v="Randhir Fageria"/>
    <n v="19"/>
    <x v="9"/>
    <s v="Mankind Pharma"/>
    <s v="PAN0425A"/>
    <d v="2027-07-01T00:00:00"/>
    <n v="95"/>
    <s v="February"/>
    <x v="1"/>
  </r>
  <r>
    <s v="02-20-2025"/>
    <s v="OTC"/>
    <s v="Sahil Chundwal"/>
    <n v="6"/>
    <x v="10"/>
    <s v="GSK India"/>
    <s v="CRO0425X"/>
    <d v="2026-10-01T00:00:00"/>
    <n v="12"/>
    <s v="February"/>
    <x v="1"/>
  </r>
  <r>
    <s v="02-20-2025"/>
    <s v="OTC"/>
    <s v="Sahil Chundwal"/>
    <n v="11"/>
    <x v="11"/>
    <s v="GSK India"/>
    <s v="ENO1224X"/>
    <d v="2026-10-01T00:00:00"/>
    <n v="110"/>
    <s v="February"/>
    <x v="1"/>
  </r>
  <r>
    <s v="02-20-2025"/>
    <s v="Dr. Vinay Singla"/>
    <s v="Radhe Shaym"/>
    <n v="4"/>
    <x v="12"/>
    <s v="Sanofi India"/>
    <s v="BET1224/25"/>
    <d v="2027-10-01T00:00:00"/>
    <n v="480"/>
    <s v="February"/>
    <x v="1"/>
  </r>
  <r>
    <s v="02-20-2025"/>
    <s v="OTC"/>
    <s v="Brijlalal Dhaka"/>
    <n v="6"/>
    <x v="13"/>
    <s v="Mankind Pharma"/>
    <s v="ALB0125/25"/>
    <d v="2026-10-01T00:00:00"/>
    <n v="120"/>
    <s v="February"/>
    <x v="1"/>
  </r>
  <r>
    <s v="02-20-2025"/>
    <s v="Dr. Vinay Singla"/>
    <s v="Mandeep Kumar"/>
    <n v="18"/>
    <x v="14"/>
    <s v="Pfizer India"/>
    <s v="OXY1224A"/>
    <d v="2024-04-01T00:00:00"/>
    <n v="540"/>
    <s v="February"/>
    <x v="0"/>
  </r>
  <r>
    <s v="02-20-2025"/>
    <s v="Dr. HC Dahiya"/>
    <s v="Raman Dhaka"/>
    <n v="26"/>
    <x v="15"/>
    <s v="Abbott India"/>
    <s v="ENR0125X"/>
    <d v="2026-08-01T00:00:00"/>
    <n v="1040"/>
    <s v="February"/>
    <x v="1"/>
  </r>
  <r>
    <s v="02-20-2025"/>
    <s v="Dr. Geeta Choudhary"/>
    <s v="Sanjay Riwar"/>
    <n v="6"/>
    <x v="16"/>
    <s v="Sun Pharma"/>
    <s v="IVE0125/25"/>
    <d v="2026-10-01T00:00:00"/>
    <n v="300"/>
    <s v="February"/>
    <x v="1"/>
  </r>
  <r>
    <s v="02-21-2025"/>
    <s v="Dr. Kamaljeet Sambhyl"/>
    <s v="Santosh Rani"/>
    <n v="5"/>
    <x v="0"/>
    <s v="Cipla"/>
    <s v="PAR0225/25"/>
    <d v="2027-05-01T00:00:00"/>
    <n v="10"/>
    <s v="February"/>
    <x v="1"/>
  </r>
  <r>
    <s v="02-21-2025"/>
    <s v="Dr. Virender Siwach"/>
    <s v="Umesh Kumar"/>
    <n v="18"/>
    <x v="1"/>
    <s v="Sun Pharma"/>
    <s v="IBU0225A"/>
    <d v="2026-11-01T00:00:00"/>
    <n v="54"/>
    <s v="February"/>
    <x v="1"/>
  </r>
  <r>
    <s v="02-21-2025"/>
    <s v="Dr. HC Dahiya"/>
    <s v="Sube Ram"/>
    <n v="16"/>
    <x v="2"/>
    <s v="Dr. Reddyâ€™s"/>
    <s v="AMO1224B"/>
    <d v="2026-12-01T00:00:00"/>
    <n v="128"/>
    <s v="February"/>
    <x v="1"/>
  </r>
  <r>
    <s v="02-21-2025"/>
    <s v="Dr. Kamaljeet Sambhyl"/>
    <s v="Chander Bhan"/>
    <n v="9"/>
    <x v="3"/>
    <s v="Zydus Cadila"/>
    <s v="CET0425X"/>
    <d v="2028-02-01T00:00:00"/>
    <n v="27"/>
    <s v="February"/>
    <x v="1"/>
  </r>
  <r>
    <s v="02-21-2025"/>
    <s v="OTC"/>
    <s v="Umesh Kumar"/>
    <n v="13"/>
    <x v="4"/>
    <s v="Lupin"/>
    <s v="MET0125A"/>
    <d v="2027-05-01T00:00:00"/>
    <n v="52"/>
    <s v="February"/>
    <x v="1"/>
  </r>
  <r>
    <s v="02-21-2025"/>
    <s v="Dr. Renu Bansal"/>
    <s v="Shishpal Sharma"/>
    <n v="9"/>
    <x v="5"/>
    <s v="Torrent Pharma"/>
    <s v="AML0125C"/>
    <d v="2027-12-01T00:00:00"/>
    <n v="45"/>
    <s v="February"/>
    <x v="1"/>
  </r>
  <r>
    <s v="02-21-2025"/>
    <s v="Dr. Ramphal Dhaka"/>
    <s v="Ravi Dhaka"/>
    <n v="11"/>
    <x v="6"/>
    <s v="Alkem Laboratories"/>
    <s v="ATE1224A"/>
    <d v="2027-07-01T00:00:00"/>
    <n v="66"/>
    <s v="February"/>
    <x v="1"/>
  </r>
  <r>
    <s v="02-21-2025"/>
    <s v="Dr. Anshul Sehgal"/>
    <s v="Shyam Sunder"/>
    <n v="13"/>
    <x v="7"/>
    <s v="Cipla"/>
    <s v="SAL0125X"/>
    <d v="2027-12-01T00:00:00"/>
    <n v="52"/>
    <s v="February"/>
    <x v="1"/>
  </r>
  <r>
    <s v="02-22-2025"/>
    <s v="Dr. Virender Siwach"/>
    <s v="Amar Burdak"/>
    <n v="21"/>
    <x v="8"/>
    <s v="Sun Pharma"/>
    <s v="DOX1224C"/>
    <d v="2026-09-01T00:00:00"/>
    <n v="210"/>
    <s v="February"/>
    <x v="1"/>
  </r>
  <r>
    <s v="02-22-2025"/>
    <s v="Dr. Sameer Tuteja"/>
    <s v="Shishpal Sharma"/>
    <n v="20"/>
    <x v="9"/>
    <s v="Mankind Pharma"/>
    <s v="PAN0325/25"/>
    <d v="2026-10-01T00:00:00"/>
    <n v="100"/>
    <s v="February"/>
    <x v="1"/>
  </r>
  <r>
    <s v="02-22-2025"/>
    <s v="OTC"/>
    <s v="Ankit Bhadu"/>
    <n v="19"/>
    <x v="10"/>
    <s v="GSK India"/>
    <s v="CRO0425B"/>
    <d v="2024-06-01T00:00:00"/>
    <n v="38"/>
    <s v="February"/>
    <x v="0"/>
  </r>
  <r>
    <s v="02-22-2025"/>
    <s v="Dr. Ramphal Dhaka"/>
    <s v="Chander Bhan"/>
    <n v="29"/>
    <x v="11"/>
    <s v="GSK India"/>
    <s v="ENO1224B"/>
    <d v="2027-02-01T00:00:00"/>
    <n v="290"/>
    <s v="February"/>
    <x v="1"/>
  </r>
  <r>
    <s v="02-22-2025"/>
    <s v="OTC"/>
    <s v="Shyam Sunder"/>
    <n v="2"/>
    <x v="12"/>
    <s v="Sanofi India"/>
    <s v="BET1224B"/>
    <d v="2026-03-01T00:00:00"/>
    <n v="240"/>
    <s v="February"/>
    <x v="1"/>
  </r>
  <r>
    <s v="02-22-2025"/>
    <s v="Dr. HC Dahiya"/>
    <s v="Umesh Kumar"/>
    <n v="20"/>
    <x v="13"/>
    <s v="Mankind Pharma"/>
    <s v="ALB0425/25"/>
    <d v="2028-01-01T00:00:00"/>
    <n v="400"/>
    <s v="February"/>
    <x v="1"/>
  </r>
  <r>
    <s v="02-22-2025"/>
    <s v="Dr. HC Dahiya"/>
    <s v="Kuldeep Singh"/>
    <n v="19"/>
    <x v="14"/>
    <s v="Pfizer India"/>
    <s v="OXY0225/25"/>
    <d v="2027-10-01T00:00:00"/>
    <n v="570"/>
    <s v="February"/>
    <x v="1"/>
  </r>
  <r>
    <s v="02-22-2025"/>
    <s v="Dr. Virender Siwach"/>
    <s v="Manisha Rani"/>
    <n v="18"/>
    <x v="15"/>
    <s v="Abbott India"/>
    <s v="ENR0425X"/>
    <d v="2025-02-01T00:00:00"/>
    <n v="720"/>
    <s v="February"/>
    <x v="0"/>
  </r>
  <r>
    <s v="02-23-2025"/>
    <s v="Dr. Sameer Tuteja"/>
    <s v="Ravi Dhaka"/>
    <n v="22"/>
    <x v="16"/>
    <s v="Sun Pharma"/>
    <s v="IVE1224A"/>
    <d v="2026-05-01T00:00:00"/>
    <n v="1100"/>
    <s v="February"/>
    <x v="1"/>
  </r>
  <r>
    <s v="02-23-2025"/>
    <s v="Dr. Ramphal Dhaka"/>
    <s v="Mandeep Kumar"/>
    <n v="22"/>
    <x v="0"/>
    <s v="Cipla"/>
    <s v="PAR0425X"/>
    <d v="2027-03-01T00:00:00"/>
    <n v="44"/>
    <s v="February"/>
    <x v="1"/>
  </r>
  <r>
    <s v="02-23-2025"/>
    <s v="Dr. Amit Narang"/>
    <s v="Sahil Chundwal"/>
    <n v="29"/>
    <x v="1"/>
    <s v="Sun Pharma"/>
    <s v="IBU0325C"/>
    <d v="2026-12-01T00:00:00"/>
    <n v="87"/>
    <s v="February"/>
    <x v="1"/>
  </r>
  <r>
    <s v="02-23-2025"/>
    <s v="Dr. Kamaljeet Sambhyl"/>
    <s v="Dinesh Sharma"/>
    <n v="24"/>
    <x v="2"/>
    <s v="Dr. Reddyâ€™s"/>
    <s v="AMO0125X"/>
    <d v="2023-10-01T00:00:00"/>
    <n v="192"/>
    <s v="February"/>
    <x v="0"/>
  </r>
  <r>
    <s v="02-23-2025"/>
    <s v="Dr. Renu Bansal"/>
    <s v="Amar Burdak"/>
    <n v="13"/>
    <x v="3"/>
    <s v="Zydus Cadila"/>
    <s v="CET0225/25"/>
    <d v="2026-06-01T00:00:00"/>
    <n v="39"/>
    <s v="February"/>
    <x v="1"/>
  </r>
  <r>
    <s v="02-23-2025"/>
    <s v="OTC"/>
    <s v="Krishan Singh"/>
    <n v="25"/>
    <x v="4"/>
    <s v="Lupin"/>
    <s v="MET0425C"/>
    <d v="2026-04-01T00:00:00"/>
    <n v="100"/>
    <s v="February"/>
    <x v="1"/>
  </r>
  <r>
    <s v="02-23-2025"/>
    <s v="OTC"/>
    <s v="Amar Burdak"/>
    <n v="8"/>
    <x v="5"/>
    <s v="Torrent Pharma"/>
    <s v="AML0425C"/>
    <d v="2027-12-01T00:00:00"/>
    <n v="40"/>
    <s v="February"/>
    <x v="1"/>
  </r>
  <r>
    <s v="02-23-2025"/>
    <s v="OTC"/>
    <s v="Sumit Kumar"/>
    <n v="22"/>
    <x v="6"/>
    <s v="Alkem Laboratories"/>
    <s v="ATE0225A"/>
    <d v="2026-12-01T00:00:00"/>
    <n v="132"/>
    <s v="February"/>
    <x v="1"/>
  </r>
  <r>
    <s v="02-24-2025"/>
    <s v="Dr. Vinay Singla"/>
    <s v="Shyam Sunder"/>
    <n v="20"/>
    <x v="7"/>
    <s v="Cipla"/>
    <s v="SAL1224C"/>
    <d v="2026-10-01T00:00:00"/>
    <n v="80"/>
    <s v="February"/>
    <x v="1"/>
  </r>
  <r>
    <s v="02-24-2025"/>
    <s v="Dr. Sameer Tuteja"/>
    <s v="Manisha Rani"/>
    <n v="30"/>
    <x v="8"/>
    <s v="Sun Pharma"/>
    <s v="DOX0125B"/>
    <d v="2024-11-01T00:00:00"/>
    <n v="300"/>
    <s v="February"/>
    <x v="0"/>
  </r>
  <r>
    <s v="02-24-2025"/>
    <s v="OTC"/>
    <s v="Shishpal Sharma"/>
    <n v="15"/>
    <x v="9"/>
    <s v="Mankind Pharma"/>
    <s v="PAN0125/25"/>
    <d v="2026-11-01T00:00:00"/>
    <n v="75"/>
    <s v="February"/>
    <x v="1"/>
  </r>
  <r>
    <s v="02-24-2025"/>
    <s v="Dr. Satbir Khumber"/>
    <s v="Baljinder Singh"/>
    <n v="11"/>
    <x v="10"/>
    <s v="GSK India"/>
    <s v="CRO0325A"/>
    <d v="2027-12-01T00:00:00"/>
    <n v="22"/>
    <s v="February"/>
    <x v="1"/>
  </r>
  <r>
    <s v="02-24-2025"/>
    <s v="OTC"/>
    <s v="Baljinder Singh"/>
    <n v="2"/>
    <x v="11"/>
    <s v="GSK India"/>
    <s v="ENO0125A"/>
    <d v="2027-10-01T00:00:00"/>
    <n v="20"/>
    <s v="February"/>
    <x v="1"/>
  </r>
  <r>
    <s v="02-24-2025"/>
    <s v="Dr. Geeta Choudhary"/>
    <s v="Amar Burdak"/>
    <n v="20"/>
    <x v="12"/>
    <s v="Sanofi India"/>
    <s v="BET0225/25"/>
    <d v="2027-01-01T00:00:00"/>
    <n v="2400"/>
    <s v="February"/>
    <x v="1"/>
  </r>
  <r>
    <s v="02-24-2025"/>
    <s v="Dr. Renu Bansal"/>
    <s v="Balbir Fageria"/>
    <n v="23"/>
    <x v="13"/>
    <s v="Mankind Pharma"/>
    <s v="ALB1224/25"/>
    <d v="2027-11-01T00:00:00"/>
    <n v="460"/>
    <s v="February"/>
    <x v="1"/>
  </r>
  <r>
    <s v="02-24-2025"/>
    <s v="Dr. Renu Bansal"/>
    <s v="Mandeep Kumar"/>
    <n v="3"/>
    <x v="14"/>
    <s v="Pfizer India"/>
    <s v="OXY0125/25"/>
    <d v="2027-10-01T00:00:00"/>
    <n v="90"/>
    <s v="February"/>
    <x v="1"/>
  </r>
  <r>
    <s v="02-25-2025"/>
    <s v="Dr. Virender Siwach"/>
    <s v="Sumitra Devi"/>
    <n v="30"/>
    <x v="15"/>
    <s v="Abbott India"/>
    <s v="ENR0425X"/>
    <d v="2028-02-01T00:00:00"/>
    <n v="1200"/>
    <s v="February"/>
    <x v="1"/>
  </r>
  <r>
    <s v="02-25-2025"/>
    <s v="Dr. Sameer Tuteja"/>
    <s v="Ravi Dhaka"/>
    <n v="21"/>
    <x v="16"/>
    <s v="Sun Pharma"/>
    <s v="IVE0225B"/>
    <d v="2023-10-01T00:00:00"/>
    <n v="1050"/>
    <s v="February"/>
    <x v="0"/>
  </r>
  <r>
    <s v="02-25-2025"/>
    <s v="OTC"/>
    <s v="Sumitra Devi"/>
    <n v="3"/>
    <x v="0"/>
    <s v="Cipla"/>
    <s v="PAR1224/25"/>
    <d v="2026-11-01T00:00:00"/>
    <n v="6"/>
    <s v="February"/>
    <x v="1"/>
  </r>
  <r>
    <s v="02-25-2025"/>
    <s v="Dr. Ramphal Dhaka"/>
    <s v="Naseeb Khakhal"/>
    <n v="4"/>
    <x v="1"/>
    <s v="Sun Pharma"/>
    <s v="IBU1224/25"/>
    <d v="2026-03-01T00:00:00"/>
    <n v="12"/>
    <s v="February"/>
    <x v="1"/>
  </r>
  <r>
    <s v="02-25-2025"/>
    <s v="OTC"/>
    <s v="Sita Ram"/>
    <n v="2"/>
    <x v="2"/>
    <s v="Dr. Reddyâ€™s"/>
    <s v="AMO0325C"/>
    <d v="2026-03-01T00:00:00"/>
    <n v="16"/>
    <s v="February"/>
    <x v="1"/>
  </r>
  <r>
    <s v="02-25-2025"/>
    <s v="Dr. Amit Narang"/>
    <s v="Naseeb Khakhal"/>
    <n v="5"/>
    <x v="3"/>
    <s v="Zydus Cadila"/>
    <s v="CET0125A"/>
    <d v="2026-01-01T00:00:00"/>
    <n v="15"/>
    <s v="February"/>
    <x v="1"/>
  </r>
  <r>
    <s v="02-25-2025"/>
    <s v="Dr. Ramphal Dhaka"/>
    <s v="Pawan Khakhal"/>
    <n v="14"/>
    <x v="4"/>
    <s v="Lupin"/>
    <s v="MET0125B"/>
    <d v="2027-12-01T00:00:00"/>
    <n v="56"/>
    <s v="February"/>
    <x v="1"/>
  </r>
  <r>
    <s v="02-25-2025"/>
    <s v="Dr. Renu Bansal"/>
    <s v="Yogesh Khicher"/>
    <n v="20"/>
    <x v="5"/>
    <s v="Torrent Pharma"/>
    <s v="AML0125/25"/>
    <d v="2024-07-01T00:00:00"/>
    <n v="100"/>
    <s v="February"/>
    <x v="0"/>
  </r>
  <r>
    <s v="02-26-2025"/>
    <s v="Dr. Anshul Sehgal"/>
    <s v="Chander Bhan"/>
    <n v="21"/>
    <x v="6"/>
    <s v="Alkem Laboratories"/>
    <s v="ATE0125C"/>
    <d v="2026-12-01T00:00:00"/>
    <n v="126"/>
    <s v="February"/>
    <x v="1"/>
  </r>
  <r>
    <s v="02-26-2025"/>
    <s v="Dr. Satbir Khumber"/>
    <s v="Kuldeep Singh"/>
    <n v="11"/>
    <x v="7"/>
    <s v="Cipla"/>
    <s v="SAL0225/25"/>
    <d v="2027-06-01T00:00:00"/>
    <n v="44"/>
    <s v="February"/>
    <x v="1"/>
  </r>
  <r>
    <s v="02-26-2025"/>
    <s v="OTC"/>
    <s v="Ankit Bhadu"/>
    <n v="24"/>
    <x v="8"/>
    <s v="Sun Pharma"/>
    <s v="DOX0125B"/>
    <d v="2027-09-01T00:00:00"/>
    <n v="240"/>
    <s v="February"/>
    <x v="1"/>
  </r>
  <r>
    <s v="02-26-2025"/>
    <s v="Dr. Amit Narang"/>
    <s v="Amit Dhaka"/>
    <n v="4"/>
    <x v="9"/>
    <s v="Mankind Pharma"/>
    <s v="PAN0125B"/>
    <d v="2026-10-01T00:00:00"/>
    <n v="20"/>
    <s v="February"/>
    <x v="1"/>
  </r>
  <r>
    <s v="02-26-2025"/>
    <s v="Dr. Rajesh Batra"/>
    <s v="Sube Ram"/>
    <n v="7"/>
    <x v="10"/>
    <s v="GSK India"/>
    <s v="CRO1224C"/>
    <d v="2027-03-01T00:00:00"/>
    <n v="14"/>
    <s v="February"/>
    <x v="1"/>
  </r>
  <r>
    <s v="02-26-2025"/>
    <s v="Dr. Amit Narang"/>
    <s v="Ram Kumar"/>
    <n v="6"/>
    <x v="11"/>
    <s v="GSK India"/>
    <s v="ENO0425B"/>
    <d v="2027-03-01T00:00:00"/>
    <n v="60"/>
    <s v="February"/>
    <x v="1"/>
  </r>
  <r>
    <s v="02-26-2025"/>
    <s v="Dr. Sameer Tuteja"/>
    <s v="Amar Burdak"/>
    <n v="3"/>
    <x v="12"/>
    <s v="Sanofi India"/>
    <s v="BET0225C"/>
    <d v="2024-07-01T00:00:00"/>
    <n v="360"/>
    <s v="February"/>
    <x v="0"/>
  </r>
  <r>
    <s v="02-26-2025"/>
    <s v="Dr. HC Dahiya"/>
    <s v="Sahil Chundwal"/>
    <n v="16"/>
    <x v="13"/>
    <s v="Mankind Pharma"/>
    <s v="ALB1224/25"/>
    <d v="2027-04-01T00:00:00"/>
    <n v="320"/>
    <s v="February"/>
    <x v="1"/>
  </r>
  <r>
    <s v="02-27-2025"/>
    <s v="Dr. Amit Narang"/>
    <s v="Sahil Chundwal"/>
    <n v="30"/>
    <x v="14"/>
    <s v="Pfizer India"/>
    <s v="OXY0425/25"/>
    <d v="2027-03-01T00:00:00"/>
    <n v="900"/>
    <s v="February"/>
    <x v="1"/>
  </r>
  <r>
    <s v="02-27-2025"/>
    <s v="Dr. Rajesh Batra"/>
    <s v="Sumitra Devi"/>
    <n v="15"/>
    <x v="15"/>
    <s v="Abbott India"/>
    <s v="ENR0325B"/>
    <d v="2026-12-01T00:00:00"/>
    <n v="600"/>
    <s v="February"/>
    <x v="1"/>
  </r>
  <r>
    <s v="02-27-2025"/>
    <s v="Dr. Virender Siwach"/>
    <s v="Mandeep Kumar"/>
    <n v="27"/>
    <x v="16"/>
    <s v="Sun Pharma"/>
    <s v="IVE1224X"/>
    <d v="2027-10-01T00:00:00"/>
    <n v="1350"/>
    <s v="February"/>
    <x v="1"/>
  </r>
  <r>
    <s v="02-27-2025"/>
    <s v="Dr. Rajesh Batra"/>
    <s v="Dinesh Sharma"/>
    <n v="10"/>
    <x v="0"/>
    <s v="Cipla"/>
    <s v="PAR0125B"/>
    <d v="2027-06-01T00:00:00"/>
    <n v="20"/>
    <s v="February"/>
    <x v="1"/>
  </r>
  <r>
    <s v="02-27-2025"/>
    <s v="Dr. Rajesh Batra"/>
    <s v="Santosh Rani"/>
    <n v="8"/>
    <x v="1"/>
    <s v="Sun Pharma"/>
    <s v="IBU0425A"/>
    <d v="2026-08-01T00:00:00"/>
    <n v="24"/>
    <s v="February"/>
    <x v="1"/>
  </r>
  <r>
    <s v="02-27-2025"/>
    <s v="Dr. Vinay Singla"/>
    <s v="Ram Kumar"/>
    <n v="5"/>
    <x v="2"/>
    <s v="Dr. Reddyâ€™s"/>
    <s v="AMO0225B"/>
    <d v="2025-01-01T00:00:00"/>
    <n v="40"/>
    <s v="February"/>
    <x v="0"/>
  </r>
  <r>
    <s v="02-27-2025"/>
    <s v="Dr. Renu Bansal"/>
    <s v="Sube Ram"/>
    <n v="12"/>
    <x v="3"/>
    <s v="Zydus Cadila"/>
    <s v="CET0225X"/>
    <d v="2026-10-01T00:00:00"/>
    <n v="36"/>
    <s v="February"/>
    <x v="1"/>
  </r>
  <r>
    <s v="02-27-2025"/>
    <s v="Dr. Virender Siwach"/>
    <s v="Naseeb Khakhal"/>
    <n v="10"/>
    <x v="4"/>
    <s v="Lupin"/>
    <s v="MET0325A"/>
    <d v="2026-04-01T00:00:00"/>
    <n v="40"/>
    <s v="February"/>
    <x v="1"/>
  </r>
  <r>
    <s v="02-28-2025"/>
    <s v="OTC"/>
    <s v="Naseeb Khakhal"/>
    <n v="1"/>
    <x v="5"/>
    <s v="Torrent Pharma"/>
    <s v="AML0425/25"/>
    <d v="2026-10-01T00:00:00"/>
    <n v="5"/>
    <s v="February"/>
    <x v="1"/>
  </r>
  <r>
    <s v="02-28-2025"/>
    <s v="OTC"/>
    <s v="Hari Singh"/>
    <n v="28"/>
    <x v="6"/>
    <s v="Alkem Laboratories"/>
    <s v="ATE0125A"/>
    <d v="2026-06-01T00:00:00"/>
    <n v="168"/>
    <s v="February"/>
    <x v="1"/>
  </r>
  <r>
    <s v="02-28-2025"/>
    <s v="Dr. Manohar Pahuja"/>
    <s v="Sita Ram"/>
    <n v="9"/>
    <x v="7"/>
    <s v="Cipla"/>
    <s v="SAL0325C"/>
    <d v="2027-05-01T00:00:00"/>
    <n v="36"/>
    <s v="February"/>
    <x v="1"/>
  </r>
  <r>
    <s v="02-28-2025"/>
    <s v="OTC"/>
    <s v="Raman Dhaka"/>
    <n v="16"/>
    <x v="8"/>
    <s v="Sun Pharma"/>
    <s v="DOX0425/25"/>
    <d v="2026-07-01T00:00:00"/>
    <n v="160"/>
    <s v="February"/>
    <x v="1"/>
  </r>
  <r>
    <s v="02-28-2025"/>
    <s v="Dr. Sameer Tuteja"/>
    <s v="Sumit Kumar"/>
    <n v="9"/>
    <x v="9"/>
    <s v="Mankind Pharma"/>
    <s v="PAN0325X"/>
    <d v="2023-05-01T00:00:00"/>
    <n v="45"/>
    <s v="February"/>
    <x v="0"/>
  </r>
  <r>
    <s v="02-28-2025"/>
    <s v="Dr. Ramphal Dhaka"/>
    <s v="Sahil Chundwal"/>
    <n v="3"/>
    <x v="10"/>
    <s v="GSK India"/>
    <s v="CRO1224C"/>
    <d v="2027-07-01T00:00:00"/>
    <n v="6"/>
    <s v="February"/>
    <x v="1"/>
  </r>
  <r>
    <s v="02-28-2025"/>
    <s v="OTC"/>
    <s v="Krishan Singh"/>
    <n v="26"/>
    <x v="11"/>
    <s v="GSK India"/>
    <s v="ENO1224B"/>
    <d v="2026-12-01T00:00:00"/>
    <n v="260"/>
    <s v="February"/>
    <x v="1"/>
  </r>
  <r>
    <s v="02-28-2025"/>
    <s v="Dr. Manohar Pahuja"/>
    <s v="Baljinder Singh"/>
    <n v="27"/>
    <x v="12"/>
    <s v="Sanofi India"/>
    <s v="BET0325C"/>
    <d v="2028-01-01T00:00:00"/>
    <n v="3240"/>
    <s v="February"/>
    <x v="1"/>
  </r>
  <r>
    <d v="2025-01-03T00:00:00"/>
    <s v="Dr. Sameer Tuteja"/>
    <s v="Santosh Rani"/>
    <n v="10"/>
    <x v="13"/>
    <s v="Mankind Pharma"/>
    <s v="ALB0425/25"/>
    <d v="2027-05-01T00:00:00"/>
    <n v="200"/>
    <s v="March"/>
    <x v="1"/>
  </r>
  <r>
    <d v="2025-01-03T00:00:00"/>
    <s v="Dr. Sameer Tuteja"/>
    <s v="Ram Kumar"/>
    <n v="6"/>
    <x v="14"/>
    <s v="Pfizer India"/>
    <s v="OXY0125/25"/>
    <d v="2026-08-01T00:00:00"/>
    <n v="180"/>
    <s v="March"/>
    <x v="1"/>
  </r>
  <r>
    <d v="2025-01-03T00:00:00"/>
    <s v="Dr. Sameer Tuteja"/>
    <s v="Ankit Bhadu"/>
    <n v="29"/>
    <x v="15"/>
    <s v="Abbott India"/>
    <s v="ENR1224A"/>
    <d v="2024-06-01T00:00:00"/>
    <n v="1160"/>
    <s v="March"/>
    <x v="0"/>
  </r>
  <r>
    <d v="2025-01-03T00:00:00"/>
    <s v="Dr. Satbir Khumber"/>
    <s v="Chander Bhan"/>
    <n v="8"/>
    <x v="16"/>
    <s v="Sun Pharma"/>
    <s v="IVE0425X"/>
    <d v="2027-09-01T00:00:00"/>
    <n v="400"/>
    <s v="March"/>
    <x v="1"/>
  </r>
  <r>
    <d v="2025-01-03T00:00:00"/>
    <s v="Dr. Geeta Choudhary"/>
    <s v="Hari Singh"/>
    <n v="28"/>
    <x v="0"/>
    <s v="Cipla"/>
    <s v="PAR0125A"/>
    <d v="2026-06-01T00:00:00"/>
    <n v="56"/>
    <s v="March"/>
    <x v="1"/>
  </r>
  <r>
    <d v="2025-01-03T00:00:00"/>
    <s v="OTC"/>
    <s v="Shishpal Sharma"/>
    <n v="4"/>
    <x v="1"/>
    <s v="Sun Pharma"/>
    <s v="IBU1224B"/>
    <d v="2026-05-01T00:00:00"/>
    <n v="12"/>
    <s v="March"/>
    <x v="1"/>
  </r>
  <r>
    <d v="2025-01-03T00:00:00"/>
    <s v="Dr. Ramphal Dhaka"/>
    <s v="Hari Singh"/>
    <n v="29"/>
    <x v="2"/>
    <s v="Dr. Reddyâ€™s"/>
    <s v="AMO1224A"/>
    <d v="2027-11-01T00:00:00"/>
    <n v="232"/>
    <s v="March"/>
    <x v="1"/>
  </r>
  <r>
    <d v="2025-01-03T00:00:00"/>
    <s v="Dr. Ramphal Dhaka"/>
    <s v="Krishan Singh"/>
    <n v="14"/>
    <x v="3"/>
    <s v="Zydus Cadila"/>
    <s v="CET0425B"/>
    <d v="2024-04-01T00:00:00"/>
    <n v="42"/>
    <s v="March"/>
    <x v="0"/>
  </r>
  <r>
    <d v="2025-02-03T00:00:00"/>
    <s v="Dr. Vinay Singla"/>
    <s v="Baljinder Singh"/>
    <n v="2"/>
    <x v="4"/>
    <s v="Lupin"/>
    <s v="MET0425B"/>
    <d v="2026-12-01T00:00:00"/>
    <n v="8"/>
    <s v="March"/>
    <x v="1"/>
  </r>
  <r>
    <d v="2025-02-03T00:00:00"/>
    <s v="OTC"/>
    <s v="Ram Kumar"/>
    <n v="16"/>
    <x v="5"/>
    <s v="Torrent Pharma"/>
    <s v="AML0225X"/>
    <d v="2026-05-01T00:00:00"/>
    <n v="80"/>
    <s v="March"/>
    <x v="1"/>
  </r>
  <r>
    <d v="2025-02-03T00:00:00"/>
    <s v="OTC"/>
    <s v="Dinesh Sharma"/>
    <n v="7"/>
    <x v="6"/>
    <s v="Alkem Laboratories"/>
    <s v="ATE0125B"/>
    <d v="2026-03-01T00:00:00"/>
    <n v="42"/>
    <s v="March"/>
    <x v="1"/>
  </r>
  <r>
    <d v="2025-02-03T00:00:00"/>
    <s v="Dr. Manohar Pahuja"/>
    <s v="Amar Burdak"/>
    <n v="12"/>
    <x v="7"/>
    <s v="Cipla"/>
    <s v="SAL0125A"/>
    <d v="2027-09-01T00:00:00"/>
    <n v="48"/>
    <s v="March"/>
    <x v="1"/>
  </r>
  <r>
    <d v="2025-02-03T00:00:00"/>
    <s v="Dr. Geeta Choudhary"/>
    <s v="Sita Ram"/>
    <n v="5"/>
    <x v="8"/>
    <s v="Sun Pharma"/>
    <s v="DOX0125A"/>
    <d v="2027-07-01T00:00:00"/>
    <n v="50"/>
    <s v="March"/>
    <x v="1"/>
  </r>
  <r>
    <d v="2025-02-03T00:00:00"/>
    <s v="Dr. Anshul Sehgal"/>
    <s v="Randhir Fageria"/>
    <n v="1"/>
    <x v="9"/>
    <s v="Mankind Pharma"/>
    <s v="PAN0325C"/>
    <d v="2024-06-01T00:00:00"/>
    <n v="5"/>
    <s v="March"/>
    <x v="0"/>
  </r>
  <r>
    <d v="2025-02-03T00:00:00"/>
    <s v="Dr. Anshul Sehgal"/>
    <s v="Ram Kumar"/>
    <n v="8"/>
    <x v="10"/>
    <s v="GSK India"/>
    <s v="CRO0225C"/>
    <d v="2027-02-01T00:00:00"/>
    <n v="16"/>
    <s v="March"/>
    <x v="1"/>
  </r>
  <r>
    <d v="2025-02-03T00:00:00"/>
    <s v="Dr. Manohar Pahuja"/>
    <s v="Shyam Sunder"/>
    <n v="2"/>
    <x v="11"/>
    <s v="GSK India"/>
    <s v="ENO0425B"/>
    <d v="2028-01-01T00:00:00"/>
    <n v="20"/>
    <s v="March"/>
    <x v="1"/>
  </r>
  <r>
    <d v="2025-03-03T00:00:00"/>
    <s v="Dr. Virender Siwach"/>
    <s v="Mohit Chaberwal"/>
    <n v="21"/>
    <x v="12"/>
    <s v="Sanofi India"/>
    <s v="BET0325A"/>
    <d v="2026-03-01T00:00:00"/>
    <n v="2520"/>
    <s v="March"/>
    <x v="1"/>
  </r>
  <r>
    <d v="2025-03-03T00:00:00"/>
    <s v="Dr. Manohar Pahuja"/>
    <s v="Yogesh Khicher"/>
    <n v="25"/>
    <x v="13"/>
    <s v="Mankind Pharma"/>
    <s v="ALB0325B"/>
    <d v="2027-11-01T00:00:00"/>
    <n v="500"/>
    <s v="March"/>
    <x v="1"/>
  </r>
  <r>
    <d v="2025-03-03T00:00:00"/>
    <s v="Dr. Ramphal Dhaka"/>
    <s v="Randhir Fageria"/>
    <n v="11"/>
    <x v="14"/>
    <s v="Pfizer India"/>
    <s v="OXY0425/25"/>
    <d v="2028-03-01T00:00:00"/>
    <n v="330"/>
    <s v="March"/>
    <x v="1"/>
  </r>
  <r>
    <d v="2025-03-03T00:00:00"/>
    <s v="Dr. Kamaljeet Sambhyl"/>
    <s v="Dinesh Sharma"/>
    <n v="13"/>
    <x v="15"/>
    <s v="Abbott India"/>
    <s v="ENR1224X"/>
    <d v="2024-08-01T00:00:00"/>
    <n v="520"/>
    <s v="March"/>
    <x v="0"/>
  </r>
  <r>
    <d v="2025-03-03T00:00:00"/>
    <s v="Dr. Anshul Sehgal"/>
    <s v="Amar Burdak"/>
    <n v="9"/>
    <x v="16"/>
    <s v="Sun Pharma"/>
    <s v="IVE0125A"/>
    <d v="2024-03-01T00:00:00"/>
    <n v="450"/>
    <s v="March"/>
    <x v="0"/>
  </r>
  <r>
    <d v="2025-03-03T00:00:00"/>
    <s v="Dr. Geeta Choudhary"/>
    <s v="Brijlalal Dhaka"/>
    <n v="16"/>
    <x v="0"/>
    <s v="Cipla"/>
    <s v="PAR0425B"/>
    <d v="2026-04-01T00:00:00"/>
    <n v="32"/>
    <s v="March"/>
    <x v="1"/>
  </r>
  <r>
    <d v="2025-03-03T00:00:00"/>
    <s v="OTC"/>
    <s v="Ravi Dhaka"/>
    <n v="30"/>
    <x v="1"/>
    <s v="Sun Pharma"/>
    <s v="IBU0225X"/>
    <d v="2027-11-01T00:00:00"/>
    <n v="90"/>
    <s v="March"/>
    <x v="1"/>
  </r>
  <r>
    <d v="2025-03-03T00:00:00"/>
    <s v="Dr. Renu Bansal"/>
    <s v="Radhe Shaym"/>
    <n v="3"/>
    <x v="2"/>
    <s v="Dr. Reddyâ€™s"/>
    <s v="AMO0125X"/>
    <d v="2027-08-01T00:00:00"/>
    <n v="24"/>
    <s v="March"/>
    <x v="1"/>
  </r>
  <r>
    <d v="2025-04-03T00:00:00"/>
    <s v="OTC"/>
    <s v="Ankit Bhadu"/>
    <n v="18"/>
    <x v="3"/>
    <s v="Zydus Cadila"/>
    <s v="CET0325C"/>
    <d v="2027-01-01T00:00:00"/>
    <n v="54"/>
    <s v="March"/>
    <x v="1"/>
  </r>
  <r>
    <d v="2025-04-03T00:00:00"/>
    <s v="Dr. Sameer Tuteja"/>
    <s v="Ankit Bhadu"/>
    <n v="12"/>
    <x v="4"/>
    <s v="Lupin"/>
    <s v="MET1224/25"/>
    <d v="2027-01-01T00:00:00"/>
    <n v="48"/>
    <s v="March"/>
    <x v="1"/>
  </r>
  <r>
    <d v="2025-04-03T00:00:00"/>
    <s v="OTC"/>
    <s v="Sanjay Riwar"/>
    <n v="14"/>
    <x v="5"/>
    <s v="Torrent Pharma"/>
    <s v="AML0225A"/>
    <d v="2027-04-01T00:00:00"/>
    <n v="70"/>
    <s v="March"/>
    <x v="1"/>
  </r>
  <r>
    <d v="2025-04-03T00:00:00"/>
    <s v="Dr. Virender Siwach"/>
    <s v="Sanjay Riwar"/>
    <n v="25"/>
    <x v="6"/>
    <s v="Alkem Laboratories"/>
    <s v="ATE0125A"/>
    <d v="2024-09-01T00:00:00"/>
    <n v="150"/>
    <s v="March"/>
    <x v="0"/>
  </r>
  <r>
    <d v="2025-04-03T00:00:00"/>
    <s v="OTC"/>
    <s v="Shishpal Sharma"/>
    <n v="10"/>
    <x v="7"/>
    <s v="Cipla"/>
    <s v="SAL0325A"/>
    <d v="2024-06-01T00:00:00"/>
    <n v="40"/>
    <s v="March"/>
    <x v="0"/>
  </r>
  <r>
    <d v="2025-04-03T00:00:00"/>
    <s v="OTC"/>
    <s v="Umesh Kumar"/>
    <n v="11"/>
    <x v="8"/>
    <s v="Sun Pharma"/>
    <s v="DOX0425B"/>
    <d v="2026-11-01T00:00:00"/>
    <n v="110"/>
    <s v="March"/>
    <x v="1"/>
  </r>
  <r>
    <d v="2025-04-03T00:00:00"/>
    <s v="Dr. Anshul Sehgal"/>
    <s v="Umesh Kumar"/>
    <n v="20"/>
    <x v="9"/>
    <s v="Mankind Pharma"/>
    <s v="PAN0125X"/>
    <d v="2026-08-01T00:00:00"/>
    <n v="100"/>
    <s v="March"/>
    <x v="1"/>
  </r>
  <r>
    <d v="2025-04-03T00:00:00"/>
    <s v="OTC"/>
    <s v="Dinesh Sharma"/>
    <n v="24"/>
    <x v="10"/>
    <s v="GSK India"/>
    <s v="CRO0325X"/>
    <d v="2027-11-01T00:00:00"/>
    <n v="48"/>
    <s v="March"/>
    <x v="1"/>
  </r>
  <r>
    <d v="2025-05-03T00:00:00"/>
    <s v="Dr. Vinay Singla"/>
    <s v="Baljinder Singh"/>
    <n v="21"/>
    <x v="11"/>
    <s v="GSK India"/>
    <s v="ENO0125B"/>
    <d v="2026-07-01T00:00:00"/>
    <n v="210"/>
    <s v="March"/>
    <x v="1"/>
  </r>
  <r>
    <d v="2025-05-03T00:00:00"/>
    <s v="Dr. Renu Bansal"/>
    <s v="Amar Burdak"/>
    <n v="22"/>
    <x v="12"/>
    <s v="Sanofi India"/>
    <s v="BET0125A"/>
    <d v="2026-01-01T00:00:00"/>
    <n v="2640"/>
    <s v="March"/>
    <x v="1"/>
  </r>
  <r>
    <d v="2025-05-03T00:00:00"/>
    <s v="Dr. Renu Bansal"/>
    <s v="Tamanna Dhaka"/>
    <n v="27"/>
    <x v="13"/>
    <s v="Mankind Pharma"/>
    <s v="ALB0225/25"/>
    <d v="2026-04-01T00:00:00"/>
    <n v="540"/>
    <s v="March"/>
    <x v="1"/>
  </r>
  <r>
    <d v="2025-05-03T00:00:00"/>
    <s v="Dr. Rajesh Batra"/>
    <s v="Brijlalal Dhaka"/>
    <n v="4"/>
    <x v="14"/>
    <s v="Pfizer India"/>
    <s v="OXY0225/25"/>
    <d v="2023-11-01T00:00:00"/>
    <n v="120"/>
    <s v="March"/>
    <x v="0"/>
  </r>
  <r>
    <d v="2025-05-03T00:00:00"/>
    <s v="OTC"/>
    <s v="Shyam Sunder"/>
    <n v="24"/>
    <x v="15"/>
    <s v="Abbott India"/>
    <s v="ENR0325B"/>
    <d v="2023-11-01T00:00:00"/>
    <n v="960"/>
    <s v="March"/>
    <x v="0"/>
  </r>
  <r>
    <d v="2025-05-03T00:00:00"/>
    <s v="Dr. Renu Bansal"/>
    <s v="Ram Kumar"/>
    <n v="21"/>
    <x v="16"/>
    <s v="Sun Pharma"/>
    <s v="IVE1224X"/>
    <d v="2026-10-01T00:00:00"/>
    <n v="1050"/>
    <s v="March"/>
    <x v="1"/>
  </r>
  <r>
    <d v="2025-05-03T00:00:00"/>
    <s v="Dr. Geeta Choudhary"/>
    <s v="Balbir Fageria"/>
    <n v="6"/>
    <x v="0"/>
    <s v="Cipla"/>
    <s v="PAR1224/25"/>
    <d v="2026-05-01T00:00:00"/>
    <n v="12"/>
    <s v="March"/>
    <x v="1"/>
  </r>
  <r>
    <d v="2025-05-03T00:00:00"/>
    <s v="Dr. Vinay Singla"/>
    <s v="Ravi Dhaka"/>
    <n v="17"/>
    <x v="1"/>
    <s v="Sun Pharma"/>
    <s v="IBU0325C"/>
    <d v="2027-07-01T00:00:00"/>
    <n v="51"/>
    <s v="March"/>
    <x v="1"/>
  </r>
  <r>
    <d v="2025-06-03T00:00:00"/>
    <s v="OTC"/>
    <s v="Umesh Kumar"/>
    <n v="18"/>
    <x v="2"/>
    <s v="Dr. Reddyâ€™s"/>
    <s v="AMO0325B"/>
    <d v="2026-11-01T00:00:00"/>
    <n v="144"/>
    <s v="March"/>
    <x v="1"/>
  </r>
  <r>
    <d v="2025-06-03T00:00:00"/>
    <s v="Dr. Geeta Choudhary"/>
    <s v="Sube Ram"/>
    <n v="29"/>
    <x v="3"/>
    <s v="Zydus Cadila"/>
    <s v="CET0225A"/>
    <d v="2027-12-01T00:00:00"/>
    <n v="87"/>
    <s v="March"/>
    <x v="1"/>
  </r>
  <r>
    <d v="2025-06-03T00:00:00"/>
    <s v="Dr. Geeta Choudhary"/>
    <s v="Naseeb Khakhal"/>
    <n v="6"/>
    <x v="4"/>
    <s v="Lupin"/>
    <s v="MET1224A"/>
    <d v="2024-03-01T00:00:00"/>
    <n v="24"/>
    <s v="March"/>
    <x v="0"/>
  </r>
  <r>
    <d v="2025-06-03T00:00:00"/>
    <s v="Dr. Renu Bansal"/>
    <s v="Shishpal Sharma"/>
    <n v="27"/>
    <x v="5"/>
    <s v="Torrent Pharma"/>
    <s v="AML0425/25"/>
    <d v="2024-05-01T00:00:00"/>
    <n v="135"/>
    <s v="March"/>
    <x v="0"/>
  </r>
  <r>
    <d v="2025-06-03T00:00:00"/>
    <s v="Dr. Manohar Pahuja"/>
    <s v="Radhe Shaym"/>
    <n v="29"/>
    <x v="6"/>
    <s v="Alkem Laboratories"/>
    <s v="ATE1224A"/>
    <d v="2027-03-01T00:00:00"/>
    <n v="174"/>
    <s v="March"/>
    <x v="1"/>
  </r>
  <r>
    <d v="2025-06-03T00:00:00"/>
    <s v="Dr. Anshul Sehgal"/>
    <s v="Naresh Didharia"/>
    <n v="16"/>
    <x v="7"/>
    <s v="Cipla"/>
    <s v="SAL0125C"/>
    <d v="2026-06-01T00:00:00"/>
    <n v="64"/>
    <s v="March"/>
    <x v="1"/>
  </r>
  <r>
    <d v="2025-06-03T00:00:00"/>
    <s v="OTC"/>
    <s v="Ramkla Devi"/>
    <n v="30"/>
    <x v="8"/>
    <s v="Sun Pharma"/>
    <s v="DOX0225C"/>
    <d v="2027-10-01T00:00:00"/>
    <n v="300"/>
    <s v="March"/>
    <x v="1"/>
  </r>
  <r>
    <d v="2025-06-03T00:00:00"/>
    <s v="Dr. Rajesh Batra"/>
    <s v="Dinesh Sharma"/>
    <n v="10"/>
    <x v="9"/>
    <s v="Mankind Pharma"/>
    <s v="PAN0325A"/>
    <d v="2026-08-01T00:00:00"/>
    <n v="50"/>
    <s v="March"/>
    <x v="1"/>
  </r>
  <r>
    <d v="2025-07-03T00:00:00"/>
    <s v="OTC"/>
    <s v="Yogesh Khicher"/>
    <n v="2"/>
    <x v="10"/>
    <s v="GSK India"/>
    <s v="CRO0325C"/>
    <d v="2027-02-01T00:00:00"/>
    <n v="4"/>
    <s v="March"/>
    <x v="1"/>
  </r>
  <r>
    <d v="2025-07-03T00:00:00"/>
    <s v="Dr. Kamaljeet Sambhyl"/>
    <s v="Mandeep Kumar"/>
    <n v="1"/>
    <x v="11"/>
    <s v="GSK India"/>
    <s v="ENO0125C"/>
    <d v="2024-03-01T00:00:00"/>
    <n v="10"/>
    <s v="March"/>
    <x v="0"/>
  </r>
  <r>
    <d v="2025-07-03T00:00:00"/>
    <s v="OTC"/>
    <s v="Sube Ram"/>
    <n v="27"/>
    <x v="12"/>
    <s v="Sanofi India"/>
    <s v="BET0125X"/>
    <d v="2026-02-01T00:00:00"/>
    <n v="3240"/>
    <s v="March"/>
    <x v="1"/>
  </r>
  <r>
    <d v="2025-07-03T00:00:00"/>
    <s v="Dr. Amit Narang"/>
    <s v="Sanjay Riwar"/>
    <n v="27"/>
    <x v="13"/>
    <s v="Mankind Pharma"/>
    <s v="ALB0425B"/>
    <d v="2025-01-01T00:00:00"/>
    <n v="540"/>
    <s v="March"/>
    <x v="0"/>
  </r>
  <r>
    <d v="2025-07-03T00:00:00"/>
    <s v="Dr. Rajesh Batra"/>
    <s v="Ankit Bhadu"/>
    <n v="15"/>
    <x v="14"/>
    <s v="Pfizer India"/>
    <s v="OXY0325B"/>
    <d v="2027-05-01T00:00:00"/>
    <n v="450"/>
    <s v="March"/>
    <x v="1"/>
  </r>
  <r>
    <d v="2025-07-03T00:00:00"/>
    <s v="Dr. Ramphal Dhaka"/>
    <s v="Amit Dhaka"/>
    <n v="10"/>
    <x v="15"/>
    <s v="Abbott India"/>
    <s v="ENR0325X"/>
    <d v="2026-04-01T00:00:00"/>
    <n v="400"/>
    <s v="March"/>
    <x v="1"/>
  </r>
  <r>
    <d v="2025-07-03T00:00:00"/>
    <s v="Dr. Virender Siwach"/>
    <s v="Ankit Bhadu"/>
    <n v="27"/>
    <x v="16"/>
    <s v="Sun Pharma"/>
    <s v="IVE0225C"/>
    <d v="2027-02-01T00:00:00"/>
    <n v="1350"/>
    <s v="March"/>
    <x v="1"/>
  </r>
  <r>
    <d v="2025-07-03T00:00:00"/>
    <s v="Dr. Renu Bansal"/>
    <s v="Mohit Chaberwal"/>
    <n v="17"/>
    <x v="0"/>
    <s v="Cipla"/>
    <s v="PAR1224A"/>
    <d v="2027-01-01T00:00:00"/>
    <n v="34"/>
    <s v="March"/>
    <x v="1"/>
  </r>
  <r>
    <d v="2025-08-03T00:00:00"/>
    <s v="Dr. Kamaljeet Sambhyl"/>
    <s v="Pawan Khakhal"/>
    <n v="11"/>
    <x v="1"/>
    <s v="Sun Pharma"/>
    <s v="IBU1224X"/>
    <d v="2026-02-01T00:00:00"/>
    <n v="33"/>
    <s v="March"/>
    <x v="1"/>
  </r>
  <r>
    <d v="2025-08-03T00:00:00"/>
    <s v="Dr. Geeta Choudhary"/>
    <s v="Amar Burdak"/>
    <n v="30"/>
    <x v="2"/>
    <s v="Dr. Reddyâ€™s"/>
    <s v="AMO0225C"/>
    <d v="2027-09-01T00:00:00"/>
    <n v="240"/>
    <s v="March"/>
    <x v="1"/>
  </r>
  <r>
    <d v="2025-08-03T00:00:00"/>
    <s v="Dr. Rajesh Batra"/>
    <s v="Pawan Khakhal"/>
    <n v="4"/>
    <x v="3"/>
    <s v="Zydus Cadila"/>
    <s v="CET0325/25"/>
    <d v="2025-10-01T00:00:00"/>
    <n v="12"/>
    <s v="March"/>
    <x v="1"/>
  </r>
  <r>
    <d v="2025-08-03T00:00:00"/>
    <s v="Dr. Satbir Khumber"/>
    <s v="Naresh Didharia"/>
    <n v="2"/>
    <x v="4"/>
    <s v="Lupin"/>
    <s v="MET1224B"/>
    <d v="2027-02-01T00:00:00"/>
    <n v="8"/>
    <s v="March"/>
    <x v="1"/>
  </r>
  <r>
    <d v="2025-08-03T00:00:00"/>
    <s v="Dr. Vinay Singla"/>
    <s v="Sanjay Riwar"/>
    <n v="11"/>
    <x v="5"/>
    <s v="Torrent Pharma"/>
    <s v="AML0225X"/>
    <d v="2026-09-01T00:00:00"/>
    <n v="55"/>
    <s v="March"/>
    <x v="1"/>
  </r>
  <r>
    <d v="2025-08-03T00:00:00"/>
    <s v="Dr. HC Dahiya"/>
    <s v="Krishan Singh"/>
    <n v="19"/>
    <x v="6"/>
    <s v="Alkem Laboratories"/>
    <s v="ATE0225/25"/>
    <d v="2026-03-01T00:00:00"/>
    <n v="114"/>
    <s v="March"/>
    <x v="1"/>
  </r>
  <r>
    <d v="2025-08-03T00:00:00"/>
    <s v="Dr. Kamaljeet Sambhyl"/>
    <s v="Baljinder Singh"/>
    <n v="4"/>
    <x v="7"/>
    <s v="Cipla"/>
    <s v="SAL0425C"/>
    <d v="2027-11-01T00:00:00"/>
    <n v="16"/>
    <s v="March"/>
    <x v="1"/>
  </r>
  <r>
    <d v="2025-08-03T00:00:00"/>
    <s v="OTC"/>
    <s v="Krishan Singh"/>
    <n v="14"/>
    <x v="8"/>
    <s v="Sun Pharma"/>
    <s v="DOX0325A"/>
    <d v="2026-05-01T00:00:00"/>
    <n v="140"/>
    <s v="March"/>
    <x v="1"/>
  </r>
  <r>
    <d v="2025-09-03T00:00:00"/>
    <s v="OTC"/>
    <s v="Santosh Rani"/>
    <n v="11"/>
    <x v="9"/>
    <s v="Mankind Pharma"/>
    <s v="PAN1224X"/>
    <d v="2024-04-01T00:00:00"/>
    <n v="55"/>
    <s v="March"/>
    <x v="0"/>
  </r>
  <r>
    <d v="2025-09-03T00:00:00"/>
    <s v="Dr. Rajesh Batra"/>
    <s v="Ravi Dhaka"/>
    <n v="27"/>
    <x v="10"/>
    <s v="GSK India"/>
    <s v="CRO0125A"/>
    <d v="2024-08-01T00:00:00"/>
    <n v="54"/>
    <s v="March"/>
    <x v="0"/>
  </r>
  <r>
    <d v="2025-09-03T00:00:00"/>
    <s v="Dr. Sameer Tuteja"/>
    <s v="Baljinder Singh"/>
    <n v="27"/>
    <x v="11"/>
    <s v="GSK India"/>
    <s v="ENO1224X"/>
    <d v="2026-12-01T00:00:00"/>
    <n v="270"/>
    <s v="March"/>
    <x v="1"/>
  </r>
  <r>
    <d v="2025-09-03T00:00:00"/>
    <s v="Dr. Geeta Choudhary"/>
    <s v="Raman Dhaka"/>
    <n v="6"/>
    <x v="12"/>
    <s v="Sanofi India"/>
    <s v="BET0325X"/>
    <d v="2027-07-01T00:00:00"/>
    <n v="720"/>
    <s v="March"/>
    <x v="1"/>
  </r>
  <r>
    <d v="2025-09-03T00:00:00"/>
    <s v="Dr. Amit Narang"/>
    <s v="Naseeb Khakhal"/>
    <n v="5"/>
    <x v="13"/>
    <s v="Mankind Pharma"/>
    <s v="ALB1224A"/>
    <d v="2027-09-01T00:00:00"/>
    <n v="100"/>
    <s v="March"/>
    <x v="1"/>
  </r>
  <r>
    <d v="2025-09-03T00:00:00"/>
    <s v="OTC"/>
    <s v="Umesh Kumar"/>
    <n v="6"/>
    <x v="14"/>
    <s v="Pfizer India"/>
    <s v="OXY0425A"/>
    <d v="2026-07-01T00:00:00"/>
    <n v="180"/>
    <s v="March"/>
    <x v="1"/>
  </r>
  <r>
    <d v="2025-09-03T00:00:00"/>
    <s v="Dr. Manohar Pahuja"/>
    <s v="Balbir Fageria"/>
    <n v="15"/>
    <x v="15"/>
    <s v="Abbott India"/>
    <s v="ENR0425/25"/>
    <d v="2026-05-01T00:00:00"/>
    <n v="600"/>
    <s v="March"/>
    <x v="1"/>
  </r>
  <r>
    <d v="2025-09-03T00:00:00"/>
    <s v="Dr. Anshul Sehgal"/>
    <s v="Sumitra Devi"/>
    <n v="1"/>
    <x v="16"/>
    <s v="Sun Pharma"/>
    <s v="IVE0125C"/>
    <d v="2024-04-01T00:00:00"/>
    <n v="50"/>
    <s v="March"/>
    <x v="0"/>
  </r>
  <r>
    <d v="2025-10-03T00:00:00"/>
    <s v="Dr. Renu Bansal"/>
    <s v="Amit Dhaka"/>
    <n v="20"/>
    <x v="0"/>
    <s v="Cipla"/>
    <s v="PAR0225A"/>
    <d v="2024-01-01T00:00:00"/>
    <n v="40"/>
    <s v="March"/>
    <x v="0"/>
  </r>
  <r>
    <d v="2025-10-03T00:00:00"/>
    <s v="Dr. Rajesh Batra"/>
    <s v="Manisha Rani"/>
    <n v="25"/>
    <x v="1"/>
    <s v="Sun Pharma"/>
    <s v="IBU1224B"/>
    <d v="2027-11-01T00:00:00"/>
    <n v="75"/>
    <s v="March"/>
    <x v="1"/>
  </r>
  <r>
    <d v="2025-10-03T00:00:00"/>
    <s v="Dr. Vinay Singla"/>
    <s v="Balbir Fageria"/>
    <n v="24"/>
    <x v="2"/>
    <s v="Dr. Reddyâ€™s"/>
    <s v="AMO0225A"/>
    <d v="2027-07-01T00:00:00"/>
    <n v="192"/>
    <s v="March"/>
    <x v="1"/>
  </r>
  <r>
    <d v="2025-10-03T00:00:00"/>
    <s v="OTC"/>
    <s v="Mohit Chaberwal"/>
    <n v="25"/>
    <x v="3"/>
    <s v="Zydus Cadila"/>
    <s v="CET0225A"/>
    <d v="2026-02-01T00:00:00"/>
    <n v="75"/>
    <s v="March"/>
    <x v="1"/>
  </r>
  <r>
    <d v="2025-10-03T00:00:00"/>
    <s v="Dr. Vinay Singla"/>
    <s v="Radhe Shaym"/>
    <n v="22"/>
    <x v="4"/>
    <s v="Lupin"/>
    <s v="MET0225B"/>
    <d v="2027-02-01T00:00:00"/>
    <n v="88"/>
    <s v="March"/>
    <x v="1"/>
  </r>
  <r>
    <d v="2025-10-03T00:00:00"/>
    <s v="OTC"/>
    <s v="Tamanna Dhaka"/>
    <n v="10"/>
    <x v="5"/>
    <s v="Torrent Pharma"/>
    <s v="AML0425A"/>
    <d v="2027-04-01T00:00:00"/>
    <n v="50"/>
    <s v="March"/>
    <x v="1"/>
  </r>
  <r>
    <d v="2025-10-03T00:00:00"/>
    <s v="OTC"/>
    <s v="Radhe Shaym"/>
    <n v="29"/>
    <x v="6"/>
    <s v="Alkem Laboratories"/>
    <s v="ATE0225X"/>
    <d v="2024-10-01T00:00:00"/>
    <n v="174"/>
    <s v="March"/>
    <x v="0"/>
  </r>
  <r>
    <d v="2025-10-03T00:00:00"/>
    <s v="OTC"/>
    <s v="Radhe Shaym"/>
    <n v="23"/>
    <x v="7"/>
    <s v="Cipla"/>
    <s v="SAL0225A"/>
    <d v="2028-01-01T00:00:00"/>
    <n v="92"/>
    <s v="March"/>
    <x v="1"/>
  </r>
  <r>
    <d v="2025-11-03T00:00:00"/>
    <s v="Dr. Satbir Khumber"/>
    <s v="Sumit Kumar"/>
    <n v="12"/>
    <x v="8"/>
    <s v="Sun Pharma"/>
    <s v="DOX0325/25"/>
    <d v="2027-06-01T00:00:00"/>
    <n v="120"/>
    <s v="March"/>
    <x v="1"/>
  </r>
  <r>
    <d v="2025-11-03T00:00:00"/>
    <s v="Dr. Sameer Tuteja"/>
    <s v="Ram Kumar"/>
    <n v="10"/>
    <x v="9"/>
    <s v="Mankind Pharma"/>
    <s v="PAN0125A"/>
    <d v="2026-09-01T00:00:00"/>
    <n v="50"/>
    <s v="March"/>
    <x v="1"/>
  </r>
  <r>
    <d v="2025-11-03T00:00:00"/>
    <s v="Dr. Manohar Pahuja"/>
    <s v="Sita Ram"/>
    <n v="5"/>
    <x v="10"/>
    <s v="GSK India"/>
    <s v="CRO0425X"/>
    <d v="2028-01-01T00:00:00"/>
    <n v="10"/>
    <s v="March"/>
    <x v="1"/>
  </r>
  <r>
    <d v="2025-11-03T00:00:00"/>
    <s v="OTC"/>
    <s v="Baljinder Singh"/>
    <n v="25"/>
    <x v="11"/>
    <s v="GSK India"/>
    <s v="ENO0425C"/>
    <d v="2027-08-01T00:00:00"/>
    <n v="250"/>
    <s v="March"/>
    <x v="1"/>
  </r>
  <r>
    <d v="2025-11-03T00:00:00"/>
    <s v="Dr. Amit Narang"/>
    <s v="Naresh Didharia"/>
    <n v="1"/>
    <x v="12"/>
    <s v="Sanofi India"/>
    <s v="BET0425C"/>
    <d v="2024-07-01T00:00:00"/>
    <n v="120"/>
    <s v="March"/>
    <x v="0"/>
  </r>
  <r>
    <d v="2025-11-03T00:00:00"/>
    <s v="Dr. Virender Siwach"/>
    <s v="Mandeep Kumar"/>
    <n v="22"/>
    <x v="13"/>
    <s v="Mankind Pharma"/>
    <s v="ALB0125C"/>
    <d v="2024-03-01T00:00:00"/>
    <n v="440"/>
    <s v="March"/>
    <x v="0"/>
  </r>
  <r>
    <d v="2025-11-03T00:00:00"/>
    <s v="Dr. Geeta Choudhary"/>
    <s v="Sube Ram"/>
    <n v="3"/>
    <x v="14"/>
    <s v="Pfizer India"/>
    <s v="OXY0325C"/>
    <d v="2027-11-01T00:00:00"/>
    <n v="90"/>
    <s v="March"/>
    <x v="1"/>
  </r>
  <r>
    <d v="2025-11-03T00:00:00"/>
    <s v="Dr. Geeta Choudhary"/>
    <s v="Shyam Sunder"/>
    <n v="6"/>
    <x v="15"/>
    <s v="Abbott India"/>
    <s v="ENR0225X"/>
    <d v="2026-08-01T00:00:00"/>
    <n v="240"/>
    <s v="March"/>
    <x v="1"/>
  </r>
  <r>
    <d v="2025-12-03T00:00:00"/>
    <s v="Dr. HC Dahiya"/>
    <s v="Ankit Bhadu"/>
    <n v="22"/>
    <x v="16"/>
    <s v="Sun Pharma"/>
    <s v="IVE0225C"/>
    <d v="2026-06-01T00:00:00"/>
    <n v="1100"/>
    <s v="March"/>
    <x v="1"/>
  </r>
  <r>
    <d v="2025-12-03T00:00:00"/>
    <s v="Dr. Vinay Singla"/>
    <s v="Shyam Sunder"/>
    <n v="22"/>
    <x v="0"/>
    <s v="Cipla"/>
    <s v="PAR1224/25"/>
    <d v="2026-05-01T00:00:00"/>
    <n v="44"/>
    <s v="March"/>
    <x v="1"/>
  </r>
  <r>
    <d v="2025-12-03T00:00:00"/>
    <s v="Dr. Ramphal Dhaka"/>
    <s v="Naseeb Khakhal"/>
    <n v="13"/>
    <x v="1"/>
    <s v="Sun Pharma"/>
    <s v="IBU0325X"/>
    <d v="2028-01-01T00:00:00"/>
    <n v="39"/>
    <s v="March"/>
    <x v="1"/>
  </r>
  <r>
    <d v="2025-12-03T00:00:00"/>
    <s v="OTC"/>
    <s v="Shyam Sunder"/>
    <n v="26"/>
    <x v="2"/>
    <s v="Dr. Reddyâ€™s"/>
    <s v="AMO0225A"/>
    <d v="2024-05-01T00:00:00"/>
    <n v="208"/>
    <s v="March"/>
    <x v="0"/>
  </r>
  <r>
    <d v="2025-12-03T00:00:00"/>
    <s v="Dr. Virender Siwach"/>
    <s v="Umesh Kumar"/>
    <n v="23"/>
    <x v="3"/>
    <s v="Zydus Cadila"/>
    <s v="CET0425X"/>
    <d v="2026-09-01T00:00:00"/>
    <n v="69"/>
    <s v="March"/>
    <x v="1"/>
  </r>
  <r>
    <d v="2025-12-03T00:00:00"/>
    <s v="OTC"/>
    <s v="Umesh Kumar"/>
    <n v="17"/>
    <x v="4"/>
    <s v="Lupin"/>
    <s v="MET0225/25"/>
    <d v="2026-08-01T00:00:00"/>
    <n v="68"/>
    <s v="March"/>
    <x v="1"/>
  </r>
  <r>
    <d v="2025-12-03T00:00:00"/>
    <s v="Dr. Sameer Tuteja"/>
    <s v="Krishan Singh"/>
    <n v="19"/>
    <x v="5"/>
    <s v="Torrent Pharma"/>
    <s v="AML0225C"/>
    <d v="2026-06-01T00:00:00"/>
    <n v="95"/>
    <s v="March"/>
    <x v="1"/>
  </r>
  <r>
    <d v="2025-12-03T00:00:00"/>
    <s v="Dr. Manohar Pahuja"/>
    <s v="Pawan Khakhal"/>
    <n v="12"/>
    <x v="6"/>
    <s v="Alkem Laboratories"/>
    <s v="ATE0125X"/>
    <d v="2024-01-01T00:00:00"/>
    <n v="72"/>
    <s v="March"/>
    <x v="0"/>
  </r>
  <r>
    <s v="03-13-2025"/>
    <s v="Dr. HC Dahiya"/>
    <s v="Mohit Chaberwal"/>
    <n v="27"/>
    <x v="7"/>
    <s v="Cipla"/>
    <s v="SAL0325B"/>
    <d v="2027-04-01T00:00:00"/>
    <n v="108"/>
    <s v="March"/>
    <x v="1"/>
  </r>
  <r>
    <s v="03-13-2025"/>
    <s v="Dr. Geeta Choudhary"/>
    <s v="Sube Ram"/>
    <n v="7"/>
    <x v="8"/>
    <s v="Sun Pharma"/>
    <s v="DOX0225/25"/>
    <d v="2026-12-01T00:00:00"/>
    <n v="70"/>
    <s v="March"/>
    <x v="1"/>
  </r>
  <r>
    <s v="03-13-2025"/>
    <s v="OTC"/>
    <s v="Randhir Fageria"/>
    <n v="13"/>
    <x v="9"/>
    <s v="Mankind Pharma"/>
    <s v="PAN0325/25"/>
    <d v="2027-09-01T00:00:00"/>
    <n v="65"/>
    <s v="March"/>
    <x v="1"/>
  </r>
  <r>
    <s v="03-13-2025"/>
    <s v="OTC"/>
    <s v="Ankit Bhadu"/>
    <n v="30"/>
    <x v="10"/>
    <s v="GSK India"/>
    <s v="CRO1224A"/>
    <d v="2024-06-01T00:00:00"/>
    <n v="60"/>
    <s v="March"/>
    <x v="0"/>
  </r>
  <r>
    <s v="03-13-2025"/>
    <s v="Dr. HC Dahiya"/>
    <s v="Shyam Sunder"/>
    <n v="1"/>
    <x v="11"/>
    <s v="GSK India"/>
    <s v="ENO0125C"/>
    <d v="2027-09-01T00:00:00"/>
    <n v="10"/>
    <s v="March"/>
    <x v="1"/>
  </r>
  <r>
    <s v="03-13-2025"/>
    <s v="Dr. Rajesh Batra"/>
    <s v="Sumitra Devi"/>
    <n v="19"/>
    <x v="12"/>
    <s v="Sanofi India"/>
    <s v="BET0425B"/>
    <d v="2028-02-01T00:00:00"/>
    <n v="2280"/>
    <s v="March"/>
    <x v="1"/>
  </r>
  <r>
    <s v="03-13-2025"/>
    <s v="Dr. Kamaljeet Sambhyl"/>
    <s v="Sanjay Riwar"/>
    <n v="4"/>
    <x v="13"/>
    <s v="Mankind Pharma"/>
    <s v="ALB0425A"/>
    <d v="2026-12-01T00:00:00"/>
    <n v="80"/>
    <s v="March"/>
    <x v="1"/>
  </r>
  <r>
    <s v="03-13-2025"/>
    <s v="Dr. Rajesh Batra"/>
    <s v="Kuldeep Singh"/>
    <n v="3"/>
    <x v="14"/>
    <s v="Pfizer India"/>
    <s v="OXY0125/25"/>
    <d v="2027-05-01T00:00:00"/>
    <n v="90"/>
    <s v="March"/>
    <x v="1"/>
  </r>
  <r>
    <s v="03-14-2025"/>
    <s v="Dr. Rajesh Batra"/>
    <s v="Brijlalal Dhaka"/>
    <n v="12"/>
    <x v="15"/>
    <s v="Abbott India"/>
    <s v="ENR1224A"/>
    <d v="2026-08-01T00:00:00"/>
    <n v="480"/>
    <s v="March"/>
    <x v="1"/>
  </r>
  <r>
    <s v="03-14-2025"/>
    <s v="Dr. Virender Siwach"/>
    <s v="Chander Bhan"/>
    <n v="10"/>
    <x v="16"/>
    <s v="Sun Pharma"/>
    <s v="IVE0325X"/>
    <d v="2026-07-01T00:00:00"/>
    <n v="500"/>
    <s v="March"/>
    <x v="1"/>
  </r>
  <r>
    <s v="03-14-2025"/>
    <s v="Dr. Sameer Tuteja"/>
    <s v="Umesh Kumar"/>
    <n v="29"/>
    <x v="0"/>
    <s v="Cipla"/>
    <s v="PAR0425C"/>
    <d v="2024-11-01T00:00:00"/>
    <n v="58"/>
    <s v="March"/>
    <x v="0"/>
  </r>
  <r>
    <s v="03-14-2025"/>
    <s v="Dr. HC Dahiya"/>
    <s v="Pawan Khakhal"/>
    <n v="7"/>
    <x v="1"/>
    <s v="Sun Pharma"/>
    <s v="IBU0425C"/>
    <d v="2027-11-01T00:00:00"/>
    <n v="21"/>
    <s v="March"/>
    <x v="1"/>
  </r>
  <r>
    <s v="03-14-2025"/>
    <s v="Dr. Anshul Sehgal"/>
    <s v="Randhir Fageria"/>
    <n v="9"/>
    <x v="2"/>
    <s v="Dr. Reddyâ€™s"/>
    <s v="AMO0225/25"/>
    <d v="2027-03-01T00:00:00"/>
    <n v="72"/>
    <s v="March"/>
    <x v="1"/>
  </r>
  <r>
    <s v="03-14-2025"/>
    <s v="OTC"/>
    <s v="Sumit Kumar"/>
    <n v="29"/>
    <x v="3"/>
    <s v="Zydus Cadila"/>
    <s v="CET0425B"/>
    <d v="2027-09-01T00:00:00"/>
    <n v="87"/>
    <s v="March"/>
    <x v="1"/>
  </r>
  <r>
    <s v="03-14-2025"/>
    <s v="OTC"/>
    <s v="Umesh Kumar"/>
    <n v="3"/>
    <x v="4"/>
    <s v="Lupin"/>
    <s v="MET0125B"/>
    <d v="2027-06-01T00:00:00"/>
    <n v="12"/>
    <s v="March"/>
    <x v="1"/>
  </r>
  <r>
    <s v="03-14-2025"/>
    <s v="Dr. Renu Bansal"/>
    <s v="Shishpal Sharma"/>
    <n v="5"/>
    <x v="5"/>
    <s v="Torrent Pharma"/>
    <s v="AML1224A"/>
    <d v="2027-09-01T00:00:00"/>
    <n v="25"/>
    <s v="March"/>
    <x v="1"/>
  </r>
  <r>
    <s v="03-15-2025"/>
    <s v="OTC"/>
    <s v="Yogesh Khicher"/>
    <n v="19"/>
    <x v="6"/>
    <s v="Alkem Laboratories"/>
    <s v="ATE0225X"/>
    <d v="2027-09-01T00:00:00"/>
    <n v="114"/>
    <s v="March"/>
    <x v="1"/>
  </r>
  <r>
    <s v="03-15-2025"/>
    <s v="Dr. Geeta Choudhary"/>
    <s v="Tamanna Dhaka"/>
    <n v="9"/>
    <x v="7"/>
    <s v="Cipla"/>
    <s v="SAL0125C"/>
    <d v="2024-09-01T00:00:00"/>
    <n v="36"/>
    <s v="March"/>
    <x v="0"/>
  </r>
  <r>
    <s v="03-15-2025"/>
    <s v="OTC"/>
    <s v="Randhir Fageria"/>
    <n v="16"/>
    <x v="8"/>
    <s v="Sun Pharma"/>
    <s v="DOX0325C"/>
    <d v="2026-12-01T00:00:00"/>
    <n v="160"/>
    <s v="March"/>
    <x v="1"/>
  </r>
  <r>
    <s v="03-15-2025"/>
    <s v="Dr. Renu Bansal"/>
    <s v="Hari Singh"/>
    <n v="20"/>
    <x v="9"/>
    <s v="Mankind Pharma"/>
    <s v="PAN0325X"/>
    <d v="2026-04-01T00:00:00"/>
    <n v="100"/>
    <s v="March"/>
    <x v="1"/>
  </r>
  <r>
    <s v="03-15-2025"/>
    <s v="Dr. Rajesh Batra"/>
    <s v="Naseeb Khakhal"/>
    <n v="26"/>
    <x v="10"/>
    <s v="GSK India"/>
    <s v="CRO0325X"/>
    <d v="2026-06-01T00:00:00"/>
    <n v="52"/>
    <s v="March"/>
    <x v="1"/>
  </r>
  <r>
    <s v="03-15-2025"/>
    <s v="Dr. Satbir Khumber"/>
    <s v="Naseeb Khakhal"/>
    <n v="7"/>
    <x v="11"/>
    <s v="GSK India"/>
    <s v="ENO0125B"/>
    <d v="2027-10-01T00:00:00"/>
    <n v="70"/>
    <s v="March"/>
    <x v="1"/>
  </r>
  <r>
    <s v="03-15-2025"/>
    <s v="Dr. Manohar Pahuja"/>
    <s v="Amar Burdak"/>
    <n v="10"/>
    <x v="12"/>
    <s v="Sanofi India"/>
    <s v="BET0325B"/>
    <d v="2026-08-01T00:00:00"/>
    <n v="1200"/>
    <s v="March"/>
    <x v="1"/>
  </r>
  <r>
    <s v="03-15-2025"/>
    <s v="OTC"/>
    <s v="Santosh Rani"/>
    <n v="18"/>
    <x v="13"/>
    <s v="Mankind Pharma"/>
    <s v="ALB0425A"/>
    <d v="2027-11-01T00:00:00"/>
    <n v="360"/>
    <s v="March"/>
    <x v="1"/>
  </r>
  <r>
    <s v="03-16-2025"/>
    <s v="Dr. Sameer Tuteja"/>
    <s v="Shishpal Sharma"/>
    <n v="23"/>
    <x v="14"/>
    <s v="Pfizer India"/>
    <s v="OXY0125X"/>
    <d v="2024-08-01T00:00:00"/>
    <n v="690"/>
    <s v="March"/>
    <x v="0"/>
  </r>
  <r>
    <s v="03-16-2025"/>
    <s v="OTC"/>
    <s v="Dinesh Sharma"/>
    <n v="8"/>
    <x v="15"/>
    <s v="Abbott India"/>
    <s v="ENR0225A"/>
    <d v="2026-12-01T00:00:00"/>
    <n v="320"/>
    <s v="March"/>
    <x v="1"/>
  </r>
  <r>
    <s v="03-16-2025"/>
    <s v="Dr. Manohar Pahuja"/>
    <s v="Shishpal Sharma"/>
    <n v="30"/>
    <x v="16"/>
    <s v="Sun Pharma"/>
    <s v="IVE0225B"/>
    <d v="2027-11-01T00:00:00"/>
    <n v="1500"/>
    <s v="March"/>
    <x v="1"/>
  </r>
  <r>
    <s v="03-16-2025"/>
    <s v="Dr. Virender Siwach"/>
    <s v="Naseeb Khakhal"/>
    <n v="17"/>
    <x v="0"/>
    <s v="Cipla"/>
    <s v="PAR0325B"/>
    <d v="2027-02-01T00:00:00"/>
    <n v="34"/>
    <s v="March"/>
    <x v="1"/>
  </r>
  <r>
    <s v="03-16-2025"/>
    <s v="Dr. Satbir Khumber"/>
    <s v="Naseeb Khakhal"/>
    <n v="20"/>
    <x v="1"/>
    <s v="Sun Pharma"/>
    <s v="IBU0325A"/>
    <d v="2026-07-01T00:00:00"/>
    <n v="60"/>
    <s v="March"/>
    <x v="1"/>
  </r>
  <r>
    <s v="03-16-2025"/>
    <s v="OTC"/>
    <s v="Santosh Rani"/>
    <n v="10"/>
    <x v="2"/>
    <s v="Dr. Reddyâ€™s"/>
    <s v="AMO1224B"/>
    <d v="2027-03-01T00:00:00"/>
    <n v="80"/>
    <s v="March"/>
    <x v="1"/>
  </r>
  <r>
    <s v="03-16-2025"/>
    <s v="OTC"/>
    <s v="Pawan Khakhal"/>
    <n v="10"/>
    <x v="3"/>
    <s v="Zydus Cadila"/>
    <s v="CET0225/25"/>
    <d v="2027-05-01T00:00:00"/>
    <n v="30"/>
    <s v="March"/>
    <x v="1"/>
  </r>
  <r>
    <s v="03-16-2025"/>
    <s v="Dr. Ramphal Dhaka"/>
    <s v="Balbir Fageria"/>
    <n v="2"/>
    <x v="4"/>
    <s v="Lupin"/>
    <s v="MET0425B"/>
    <d v="2024-03-01T00:00:00"/>
    <n v="8"/>
    <s v="March"/>
    <x v="0"/>
  </r>
  <r>
    <s v="03-17-2025"/>
    <s v="Dr. Satbir Khumber"/>
    <s v="Sanjay Riwar"/>
    <n v="1"/>
    <x v="5"/>
    <s v="Torrent Pharma"/>
    <s v="AML0225C"/>
    <d v="2028-02-01T00:00:00"/>
    <n v="5"/>
    <s v="March"/>
    <x v="1"/>
  </r>
  <r>
    <s v="03-17-2025"/>
    <s v="Dr. Satbir Khumber"/>
    <s v="Balbir Fageria"/>
    <n v="19"/>
    <x v="6"/>
    <s v="Alkem Laboratories"/>
    <s v="ATE0225C"/>
    <d v="2028-01-01T00:00:00"/>
    <n v="114"/>
    <s v="March"/>
    <x v="1"/>
  </r>
  <r>
    <s v="03-17-2025"/>
    <s v="Dr. Virender Siwach"/>
    <s v="Mohit Chaberwal"/>
    <n v="10"/>
    <x v="7"/>
    <s v="Cipla"/>
    <s v="SAL1224A"/>
    <d v="2026-10-01T00:00:00"/>
    <n v="40"/>
    <s v="March"/>
    <x v="1"/>
  </r>
  <r>
    <s v="03-17-2025"/>
    <s v="Dr. HC Dahiya"/>
    <s v="Sanjay Riwar"/>
    <n v="14"/>
    <x v="8"/>
    <s v="Sun Pharma"/>
    <s v="DOX0425/25"/>
    <d v="2026-06-01T00:00:00"/>
    <n v="140"/>
    <s v="March"/>
    <x v="1"/>
  </r>
  <r>
    <s v="03-17-2025"/>
    <s v="OTC"/>
    <s v="Brijlalal Dhaka"/>
    <n v="20"/>
    <x v="9"/>
    <s v="Mankind Pharma"/>
    <s v="PAN1224/25"/>
    <d v="2027-10-01T00:00:00"/>
    <n v="100"/>
    <s v="March"/>
    <x v="1"/>
  </r>
  <r>
    <s v="03-17-2025"/>
    <s v="Dr. Geeta Choudhary"/>
    <s v="Kuldeep Singh"/>
    <n v="29"/>
    <x v="10"/>
    <s v="GSK India"/>
    <s v="CRO0425A"/>
    <d v="2028-03-01T00:00:00"/>
    <n v="58"/>
    <s v="March"/>
    <x v="1"/>
  </r>
  <r>
    <s v="03-17-2025"/>
    <s v="Dr. Satbir Khumber"/>
    <s v="Chander Bhan"/>
    <n v="7"/>
    <x v="11"/>
    <s v="GSK India"/>
    <s v="ENO1224/25"/>
    <d v="2024-12-01T00:00:00"/>
    <n v="70"/>
    <s v="March"/>
    <x v="0"/>
  </r>
  <r>
    <s v="03-17-2025"/>
    <s v="OTC"/>
    <s v="Amar Burdak"/>
    <n v="19"/>
    <x v="12"/>
    <s v="Sanofi India"/>
    <s v="BET1224C"/>
    <d v="2026-07-01T00:00:00"/>
    <n v="2280"/>
    <s v="March"/>
    <x v="1"/>
  </r>
  <r>
    <s v="03-18-2025"/>
    <s v="Dr. Anshul Sehgal"/>
    <s v="Ramkla Devi"/>
    <n v="18"/>
    <x v="13"/>
    <s v="Mankind Pharma"/>
    <s v="ALB0125B"/>
    <d v="2026-10-01T00:00:00"/>
    <n v="360"/>
    <s v="March"/>
    <x v="1"/>
  </r>
  <r>
    <s v="03-18-2025"/>
    <s v="Dr. Vinay Singla"/>
    <s v="Ram Kumar"/>
    <n v="25"/>
    <x v="14"/>
    <s v="Pfizer India"/>
    <s v="OXY0325A"/>
    <d v="2027-02-01T00:00:00"/>
    <n v="750"/>
    <s v="March"/>
    <x v="1"/>
  </r>
  <r>
    <s v="03-18-2025"/>
    <s v="Dr. Rajesh Batra"/>
    <s v="Ravi Dhaka"/>
    <n v="1"/>
    <x v="15"/>
    <s v="Abbott India"/>
    <s v="ENR0125A"/>
    <d v="2026-04-01T00:00:00"/>
    <n v="40"/>
    <s v="March"/>
    <x v="1"/>
  </r>
  <r>
    <s v="03-18-2025"/>
    <s v="Dr. Anshul Sehgal"/>
    <s v="Ram Kumar"/>
    <n v="18"/>
    <x v="16"/>
    <s v="Sun Pharma"/>
    <s v="IVE0125X"/>
    <d v="2027-10-01T00:00:00"/>
    <n v="900"/>
    <s v="March"/>
    <x v="1"/>
  </r>
  <r>
    <s v="03-18-2025"/>
    <s v="Dr. Renu Bansal"/>
    <s v="Sube Ram"/>
    <n v="1"/>
    <x v="0"/>
    <s v="Cipla"/>
    <s v="PAR0425A"/>
    <d v="2026-11-01T00:00:00"/>
    <n v="2"/>
    <s v="March"/>
    <x v="1"/>
  </r>
  <r>
    <s v="03-18-2025"/>
    <s v="OTC"/>
    <s v="Sumit Kumar"/>
    <n v="16"/>
    <x v="1"/>
    <s v="Sun Pharma"/>
    <s v="IBU0325B"/>
    <d v="2024-10-01T00:00:00"/>
    <n v="48"/>
    <s v="March"/>
    <x v="0"/>
  </r>
  <r>
    <s v="03-18-2025"/>
    <s v="Dr. Manohar Pahuja"/>
    <s v="Baljinder Singh"/>
    <n v="28"/>
    <x v="2"/>
    <s v="Dr. Reddyâ€™s"/>
    <s v="AMO1224A"/>
    <d v="2027-04-01T00:00:00"/>
    <n v="224"/>
    <s v="March"/>
    <x v="1"/>
  </r>
  <r>
    <s v="03-18-2025"/>
    <s v="Dr. Renu Bansal"/>
    <s v="Sita Ram"/>
    <n v="23"/>
    <x v="3"/>
    <s v="Zydus Cadila"/>
    <s v="CET0125/25"/>
    <d v="2026-10-01T00:00:00"/>
    <n v="69"/>
    <s v="March"/>
    <x v="1"/>
  </r>
  <r>
    <s v="03-19-2025"/>
    <s v="Dr. Amit Narang"/>
    <s v="Umesh Kumar"/>
    <n v="1"/>
    <x v="4"/>
    <s v="Lupin"/>
    <s v="MET1224A"/>
    <d v="2027-11-01T00:00:00"/>
    <n v="4"/>
    <s v="March"/>
    <x v="1"/>
  </r>
  <r>
    <s v="03-19-2025"/>
    <s v="Dr. Satbir Khumber"/>
    <s v="Sanjay Riwar"/>
    <n v="17"/>
    <x v="5"/>
    <s v="Torrent Pharma"/>
    <s v="AML0425/25"/>
    <d v="2026-05-01T00:00:00"/>
    <n v="85"/>
    <s v="March"/>
    <x v="1"/>
  </r>
  <r>
    <s v="03-19-2025"/>
    <s v="Dr. Ramphal Dhaka"/>
    <s v="Mandeep Kumar"/>
    <n v="7"/>
    <x v="6"/>
    <s v="Alkem Laboratories"/>
    <s v="ATE0225A"/>
    <d v="2024-12-01T00:00:00"/>
    <n v="42"/>
    <s v="March"/>
    <x v="0"/>
  </r>
  <r>
    <s v="03-19-2025"/>
    <s v="Dr. Anshul Sehgal"/>
    <s v="Yogesh Khicher"/>
    <n v="7"/>
    <x v="7"/>
    <s v="Cipla"/>
    <s v="SAL0425B"/>
    <d v="2027-03-01T00:00:00"/>
    <n v="28"/>
    <s v="March"/>
    <x v="1"/>
  </r>
  <r>
    <s v="03-19-2025"/>
    <s v="Dr. Vinay Singla"/>
    <s v="Kuldeep Singh"/>
    <n v="11"/>
    <x v="8"/>
    <s v="Sun Pharma"/>
    <s v="DOX0225X"/>
    <d v="2027-11-01T00:00:00"/>
    <n v="110"/>
    <s v="March"/>
    <x v="1"/>
  </r>
  <r>
    <s v="03-19-2025"/>
    <s v="Dr. Ramphal Dhaka"/>
    <s v="Randhir Fageria"/>
    <n v="24"/>
    <x v="9"/>
    <s v="Mankind Pharma"/>
    <s v="PAN1224X"/>
    <d v="2027-09-01T00:00:00"/>
    <n v="120"/>
    <s v="March"/>
    <x v="1"/>
  </r>
  <r>
    <s v="03-19-2025"/>
    <s v="Dr. Manohar Pahuja"/>
    <s v="Manisha Rani"/>
    <n v="6"/>
    <x v="10"/>
    <s v="GSK India"/>
    <s v="CRO0225C"/>
    <d v="2027-05-01T00:00:00"/>
    <n v="12"/>
    <s v="March"/>
    <x v="1"/>
  </r>
  <r>
    <s v="03-19-2025"/>
    <s v="Dr. Ramphal Dhaka"/>
    <s v="Ram Kumar"/>
    <n v="21"/>
    <x v="11"/>
    <s v="GSK India"/>
    <s v="ENO0225A"/>
    <d v="2024-06-01T00:00:00"/>
    <n v="210"/>
    <s v="March"/>
    <x v="0"/>
  </r>
  <r>
    <s v="03-20-2025"/>
    <s v="Dr. Rajesh Batra"/>
    <s v="Kuldeep Singh"/>
    <n v="8"/>
    <x v="12"/>
    <s v="Sanofi India"/>
    <s v="BET1224B"/>
    <d v="2027-07-01T00:00:00"/>
    <n v="960"/>
    <s v="March"/>
    <x v="1"/>
  </r>
  <r>
    <s v="03-20-2025"/>
    <s v="Dr. Amit Narang"/>
    <s v="Ram Kumar"/>
    <n v="29"/>
    <x v="13"/>
    <s v="Mankind Pharma"/>
    <s v="ALB0325X"/>
    <d v="2026-08-01T00:00:00"/>
    <n v="580"/>
    <s v="March"/>
    <x v="1"/>
  </r>
  <r>
    <s v="03-20-2025"/>
    <s v="OTC"/>
    <s v="Shyam Sunder"/>
    <n v="12"/>
    <x v="14"/>
    <s v="Pfizer India"/>
    <s v="OXY1224B"/>
    <d v="2025-12-01T00:00:00"/>
    <n v="360"/>
    <s v="March"/>
    <x v="1"/>
  </r>
  <r>
    <s v="03-20-2025"/>
    <s v="OTC"/>
    <s v="Raman Dhaka"/>
    <n v="3"/>
    <x v="15"/>
    <s v="Abbott India"/>
    <s v="ENR0125A"/>
    <d v="2026-09-01T00:00:00"/>
    <n v="120"/>
    <s v="March"/>
    <x v="1"/>
  </r>
  <r>
    <s v="03-20-2025"/>
    <s v="Dr. Amit Narang"/>
    <s v="Pawan Khakhal"/>
    <n v="8"/>
    <x v="16"/>
    <s v="Sun Pharma"/>
    <s v="IVE0325B"/>
    <d v="2024-06-01T00:00:00"/>
    <n v="400"/>
    <s v="March"/>
    <x v="0"/>
  </r>
  <r>
    <s v="03-20-2025"/>
    <s v="Dr. Virender Siwach"/>
    <s v="Sumitra Devi"/>
    <n v="21"/>
    <x v="0"/>
    <s v="Cipla"/>
    <s v="PAR0425C"/>
    <d v="2027-11-01T00:00:00"/>
    <n v="42"/>
    <s v="March"/>
    <x v="1"/>
  </r>
  <r>
    <s v="03-20-2025"/>
    <s v="Dr. Kamaljeet Sambhyl"/>
    <s v="Hari Singh"/>
    <n v="14"/>
    <x v="1"/>
    <s v="Sun Pharma"/>
    <s v="IBU0125X"/>
    <d v="2027-06-01T00:00:00"/>
    <n v="42"/>
    <s v="March"/>
    <x v="1"/>
  </r>
  <r>
    <s v="03-20-2025"/>
    <s v="Dr. HC Dahiya"/>
    <s v="Brijlalal Dhaka"/>
    <n v="30"/>
    <x v="2"/>
    <s v="Dr. Reddyâ€™s"/>
    <s v="AMO0125A"/>
    <d v="2026-06-01T00:00:00"/>
    <n v="240"/>
    <s v="March"/>
    <x v="1"/>
  </r>
  <r>
    <s v="03-21-2025"/>
    <s v="OTC"/>
    <s v="Sahil Chundwal"/>
    <n v="14"/>
    <x v="3"/>
    <s v="Zydus Cadila"/>
    <s v="CET0325A"/>
    <d v="2027-01-01T00:00:00"/>
    <n v="42"/>
    <s v="March"/>
    <x v="1"/>
  </r>
  <r>
    <s v="03-21-2025"/>
    <s v="OTC"/>
    <s v="Amit Dhaka"/>
    <n v="19"/>
    <x v="4"/>
    <s v="Lupin"/>
    <s v="MET0325B"/>
    <d v="2024-05-01T00:00:00"/>
    <n v="76"/>
    <s v="March"/>
    <x v="0"/>
  </r>
  <r>
    <s v="03-21-2025"/>
    <s v="Dr. Vinay Singla"/>
    <s v="Mohit Chaberwal"/>
    <n v="9"/>
    <x v="5"/>
    <s v="Torrent Pharma"/>
    <s v="AML0125/25"/>
    <d v="2027-04-01T00:00:00"/>
    <n v="45"/>
    <s v="March"/>
    <x v="1"/>
  </r>
  <r>
    <s v="03-21-2025"/>
    <s v="OTC"/>
    <s v="Mohit Chaberwal"/>
    <n v="3"/>
    <x v="6"/>
    <s v="Alkem Laboratories"/>
    <s v="ATE0125C"/>
    <d v="2026-10-01T00:00:00"/>
    <n v="18"/>
    <s v="March"/>
    <x v="1"/>
  </r>
  <r>
    <s v="03-21-2025"/>
    <s v="Dr. Satbir Khumber"/>
    <s v="Naseeb Khakhal"/>
    <n v="19"/>
    <x v="7"/>
    <s v="Cipla"/>
    <s v="SAL0225/25"/>
    <d v="2026-10-01T00:00:00"/>
    <n v="76"/>
    <s v="March"/>
    <x v="1"/>
  </r>
  <r>
    <s v="03-21-2025"/>
    <s v="OTC"/>
    <s v="Ravi Dhaka"/>
    <n v="28"/>
    <x v="8"/>
    <s v="Sun Pharma"/>
    <s v="DOX0125/25"/>
    <d v="2026-09-01T00:00:00"/>
    <n v="280"/>
    <s v="March"/>
    <x v="1"/>
  </r>
  <r>
    <s v="03-21-2025"/>
    <s v="OTC"/>
    <s v="Raman Dhaka"/>
    <n v="10"/>
    <x v="9"/>
    <s v="Mankind Pharma"/>
    <s v="PAN0325A"/>
    <d v="2024-11-01T00:00:00"/>
    <n v="50"/>
    <s v="March"/>
    <x v="0"/>
  </r>
  <r>
    <s v="03-21-2025"/>
    <s v="OTC"/>
    <s v="Pawan Khakhal"/>
    <n v="19"/>
    <x v="10"/>
    <s v="GSK India"/>
    <s v="CRO1224A"/>
    <d v="2027-08-01T00:00:00"/>
    <n v="38"/>
    <s v="March"/>
    <x v="1"/>
  </r>
  <r>
    <s v="03-22-2025"/>
    <s v="Dr. Kamaljeet Sambhyl"/>
    <s v="Mohit Chaberwal"/>
    <n v="26"/>
    <x v="11"/>
    <s v="GSK India"/>
    <s v="ENO0125/25"/>
    <d v="2026-01-01T00:00:00"/>
    <n v="260"/>
    <s v="March"/>
    <x v="1"/>
  </r>
  <r>
    <s v="03-22-2025"/>
    <s v="OTC"/>
    <s v="Randhir Fageria"/>
    <n v="16"/>
    <x v="12"/>
    <s v="Sanofi India"/>
    <s v="BET1224X"/>
    <d v="2026-09-01T00:00:00"/>
    <n v="1920"/>
    <s v="March"/>
    <x v="1"/>
  </r>
  <r>
    <s v="03-22-2025"/>
    <s v="Dr. Kamaljeet Sambhyl"/>
    <s v="Ramkla Devi"/>
    <n v="4"/>
    <x v="13"/>
    <s v="Mankind Pharma"/>
    <s v="ALB0225X"/>
    <d v="2026-02-01T00:00:00"/>
    <n v="80"/>
    <s v="March"/>
    <x v="1"/>
  </r>
  <r>
    <s v="03-22-2025"/>
    <s v="Dr. Anshul Sehgal"/>
    <s v="Amar Burdak"/>
    <n v="16"/>
    <x v="14"/>
    <s v="Pfizer India"/>
    <s v="OXY0325B"/>
    <d v="2023-04-01T00:00:00"/>
    <n v="480"/>
    <s v="March"/>
    <x v="0"/>
  </r>
  <r>
    <s v="03-22-2025"/>
    <s v="Dr. Sameer Tuteja"/>
    <s v="Kuldeep Singh"/>
    <n v="14"/>
    <x v="15"/>
    <s v="Abbott India"/>
    <s v="ENR0225B"/>
    <d v="2026-09-01T00:00:00"/>
    <n v="560"/>
    <s v="March"/>
    <x v="1"/>
  </r>
  <r>
    <s v="03-22-2025"/>
    <s v="Dr. Satbir Khumber"/>
    <s v="Mandeep Kumar"/>
    <n v="24"/>
    <x v="16"/>
    <s v="Sun Pharma"/>
    <s v="IVE1224A"/>
    <d v="2025-12-01T00:00:00"/>
    <n v="1200"/>
    <s v="March"/>
    <x v="1"/>
  </r>
  <r>
    <s v="03-22-2025"/>
    <s v="OTC"/>
    <s v="Mandeep Kumar"/>
    <n v="19"/>
    <x v="0"/>
    <s v="Cipla"/>
    <s v="PAR0225C"/>
    <d v="2026-03-01T00:00:00"/>
    <n v="38"/>
    <s v="March"/>
    <x v="1"/>
  </r>
  <r>
    <s v="03-22-2025"/>
    <s v="Dr. HC Dahiya"/>
    <s v="Baljinder Singh"/>
    <n v="8"/>
    <x v="1"/>
    <s v="Sun Pharma"/>
    <s v="IBU0325C"/>
    <d v="2024-03-01T00:00:00"/>
    <n v="24"/>
    <s v="March"/>
    <x v="0"/>
  </r>
  <r>
    <s v="03-23-2025"/>
    <s v="Dr. Vinay Singla"/>
    <s v="Mohit Chaberwal"/>
    <n v="9"/>
    <x v="2"/>
    <s v="Dr. Reddyâ€™s"/>
    <s v="AMO1224X"/>
    <d v="2026-09-01T00:00:00"/>
    <n v="72"/>
    <s v="March"/>
    <x v="1"/>
  </r>
  <r>
    <s v="03-23-2025"/>
    <s v="OTC"/>
    <s v="Ramkla Devi"/>
    <n v="18"/>
    <x v="3"/>
    <s v="Zydus Cadila"/>
    <s v="CET0325A"/>
    <d v="2028-01-01T00:00:00"/>
    <n v="54"/>
    <s v="March"/>
    <x v="1"/>
  </r>
  <r>
    <s v="03-23-2025"/>
    <s v="Dr. Anshul Sehgal"/>
    <s v="Kuldeep Singh"/>
    <n v="17"/>
    <x v="4"/>
    <s v="Lupin"/>
    <s v="MET0125A"/>
    <d v="2026-06-01T00:00:00"/>
    <n v="68"/>
    <s v="March"/>
    <x v="1"/>
  </r>
  <r>
    <s v="03-23-2025"/>
    <s v="Dr. Anshul Sehgal"/>
    <s v="Dinesh Sharma"/>
    <n v="3"/>
    <x v="5"/>
    <s v="Torrent Pharma"/>
    <s v="AML0125B"/>
    <d v="2026-09-01T00:00:00"/>
    <n v="15"/>
    <s v="March"/>
    <x v="1"/>
  </r>
  <r>
    <s v="03-23-2025"/>
    <s v="Dr. Manohar Pahuja"/>
    <s v="Ravi Dhaka"/>
    <n v="15"/>
    <x v="6"/>
    <s v="Alkem Laboratories"/>
    <s v="ATE0125A"/>
    <d v="2026-07-01T00:00:00"/>
    <n v="90"/>
    <s v="March"/>
    <x v="1"/>
  </r>
  <r>
    <s v="03-23-2025"/>
    <s v="OTC"/>
    <s v="Balbir Fageria"/>
    <n v="8"/>
    <x v="7"/>
    <s v="Cipla"/>
    <s v="SAL0325/25"/>
    <d v="2025-04-01T00:00:00"/>
    <n v="32"/>
    <s v="March"/>
    <x v="0"/>
  </r>
  <r>
    <s v="03-23-2025"/>
    <s v="OTC"/>
    <s v="Ankit Bhadu"/>
    <n v="11"/>
    <x v="8"/>
    <s v="Sun Pharma"/>
    <s v="DOX0425/25"/>
    <d v="2027-01-01T00:00:00"/>
    <n v="110"/>
    <s v="March"/>
    <x v="1"/>
  </r>
  <r>
    <s v="03-23-2025"/>
    <s v="Dr. Virender Siwach"/>
    <s v="Mandeep Kumar"/>
    <n v="23"/>
    <x v="9"/>
    <s v="Mankind Pharma"/>
    <s v="PAN0425A"/>
    <d v="2027-09-01T00:00:00"/>
    <n v="115"/>
    <s v="March"/>
    <x v="1"/>
  </r>
  <r>
    <s v="03-24-2025"/>
    <s v="OTC"/>
    <s v="Randhir Fageria"/>
    <n v="8"/>
    <x v="10"/>
    <s v="GSK India"/>
    <s v="CRO0225C"/>
    <d v="2026-11-01T00:00:00"/>
    <n v="16"/>
    <s v="March"/>
    <x v="1"/>
  </r>
  <r>
    <s v="03-24-2025"/>
    <s v="Dr. Kamaljeet Sambhyl"/>
    <s v="Tamanna Dhaka"/>
    <n v="21"/>
    <x v="11"/>
    <s v="GSK India"/>
    <s v="ENO1224A"/>
    <d v="2027-10-01T00:00:00"/>
    <n v="210"/>
    <s v="March"/>
    <x v="1"/>
  </r>
  <r>
    <s v="03-24-2025"/>
    <s v="Dr. Satbir Khumber"/>
    <s v="Manisha Rani"/>
    <n v="23"/>
    <x v="12"/>
    <s v="Sanofi India"/>
    <s v="BET1224/25"/>
    <d v="2027-08-01T00:00:00"/>
    <n v="2760"/>
    <s v="March"/>
    <x v="1"/>
  </r>
  <r>
    <s v="03-24-2025"/>
    <s v="Dr. Amit Narang"/>
    <s v="Sube Ram"/>
    <n v="16"/>
    <x v="13"/>
    <s v="Mankind Pharma"/>
    <s v="ALB0325A"/>
    <d v="2027-05-01T00:00:00"/>
    <n v="320"/>
    <s v="March"/>
    <x v="1"/>
  </r>
  <r>
    <s v="03-24-2025"/>
    <s v="Dr. Amit Narang"/>
    <s v="Mohit Chaberwal"/>
    <n v="10"/>
    <x v="14"/>
    <s v="Pfizer India"/>
    <s v="OXY1224X"/>
    <d v="2024-09-01T00:00:00"/>
    <n v="300"/>
    <s v="March"/>
    <x v="0"/>
  </r>
  <r>
    <s v="03-24-2025"/>
    <s v="Dr. Sameer Tuteja"/>
    <s v="Naresh Didharia"/>
    <n v="6"/>
    <x v="15"/>
    <s v="Abbott India"/>
    <s v="ENR0225/25"/>
    <d v="2026-08-01T00:00:00"/>
    <n v="240"/>
    <s v="March"/>
    <x v="1"/>
  </r>
  <r>
    <s v="03-24-2025"/>
    <s v="Dr. Virender Siwach"/>
    <s v="Shyam Sunder"/>
    <n v="2"/>
    <x v="16"/>
    <s v="Sun Pharma"/>
    <s v="IVE0325B"/>
    <d v="2026-04-01T00:00:00"/>
    <n v="100"/>
    <s v="March"/>
    <x v="1"/>
  </r>
  <r>
    <s v="03-24-2025"/>
    <s v="OTC"/>
    <s v="Amar Burdak"/>
    <n v="29"/>
    <x v="0"/>
    <s v="Cipla"/>
    <s v="PAR0325C"/>
    <d v="2026-06-01T00:00:00"/>
    <n v="58"/>
    <s v="March"/>
    <x v="1"/>
  </r>
  <r>
    <s v="03-25-2025"/>
    <s v="Dr. Anshul Sehgal"/>
    <s v="Tamanna Dhaka"/>
    <n v="7"/>
    <x v="1"/>
    <s v="Sun Pharma"/>
    <s v="IBU1224C"/>
    <d v="2024-08-01T00:00:00"/>
    <n v="21"/>
    <s v="March"/>
    <x v="0"/>
  </r>
  <r>
    <s v="03-25-2025"/>
    <s v="Dr. Kamaljeet Sambhyl"/>
    <s v="Yogesh Khicher"/>
    <n v="4"/>
    <x v="2"/>
    <s v="Dr. Reddyâ€™s"/>
    <s v="AMO1224B"/>
    <d v="2026-10-01T00:00:00"/>
    <n v="32"/>
    <s v="March"/>
    <x v="1"/>
  </r>
  <r>
    <s v="03-25-2025"/>
    <s v="Dr. Vinay Singla"/>
    <s v="Amit Dhaka"/>
    <n v="14"/>
    <x v="3"/>
    <s v="Zydus Cadila"/>
    <s v="CET0225X"/>
    <d v="2027-12-01T00:00:00"/>
    <n v="42"/>
    <s v="March"/>
    <x v="1"/>
  </r>
  <r>
    <s v="03-25-2025"/>
    <s v="Dr. Virender Siwach"/>
    <s v="Naresh Didharia"/>
    <n v="30"/>
    <x v="4"/>
    <s v="Lupin"/>
    <s v="MET0325A"/>
    <d v="2027-07-01T00:00:00"/>
    <n v="120"/>
    <s v="March"/>
    <x v="1"/>
  </r>
  <r>
    <s v="03-25-2025"/>
    <s v="OTC"/>
    <s v="Baljinder Singh"/>
    <n v="24"/>
    <x v="5"/>
    <s v="Torrent Pharma"/>
    <s v="AML0225/25"/>
    <d v="2028-01-01T00:00:00"/>
    <n v="120"/>
    <s v="March"/>
    <x v="1"/>
  </r>
  <r>
    <s v="03-25-2025"/>
    <s v="Dr. Anshul Sehgal"/>
    <s v="Radhe Shaym"/>
    <n v="29"/>
    <x v="6"/>
    <s v="Alkem Laboratories"/>
    <s v="ATE0325/25"/>
    <d v="2026-08-01T00:00:00"/>
    <n v="174"/>
    <s v="March"/>
    <x v="1"/>
  </r>
  <r>
    <s v="03-25-2025"/>
    <s v="OTC"/>
    <s v="Baljinder Singh"/>
    <n v="10"/>
    <x v="7"/>
    <s v="Cipla"/>
    <s v="SAL0125A"/>
    <d v="2024-11-01T00:00:00"/>
    <n v="40"/>
    <s v="March"/>
    <x v="0"/>
  </r>
  <r>
    <s v="03-25-2025"/>
    <s v="Dr. HC Dahiya"/>
    <s v="Tamanna Dhaka"/>
    <n v="15"/>
    <x v="8"/>
    <s v="Sun Pharma"/>
    <s v="DOX0325C"/>
    <d v="2027-06-01T00:00:00"/>
    <n v="150"/>
    <s v="March"/>
    <x v="1"/>
  </r>
  <r>
    <s v="03-26-2025"/>
    <s v="Dr. Geeta Choudhary"/>
    <s v="Sita Ram"/>
    <n v="29"/>
    <x v="9"/>
    <s v="Mankind Pharma"/>
    <s v="PAN0325/25"/>
    <d v="2027-02-01T00:00:00"/>
    <n v="145"/>
    <s v="March"/>
    <x v="1"/>
  </r>
  <r>
    <s v="03-26-2025"/>
    <s v="OTC"/>
    <s v="Sube Ram"/>
    <n v="18"/>
    <x v="10"/>
    <s v="GSK India"/>
    <s v="CRO0225C"/>
    <d v="2027-04-01T00:00:00"/>
    <n v="36"/>
    <s v="March"/>
    <x v="1"/>
  </r>
  <r>
    <s v="03-26-2025"/>
    <s v="Dr. Kamaljeet Sambhyl"/>
    <s v="Ramkla Devi"/>
    <n v="1"/>
    <x v="11"/>
    <s v="GSK India"/>
    <s v="ENO0125/25"/>
    <d v="2026-03-01T00:00:00"/>
    <n v="10"/>
    <s v="March"/>
    <x v="1"/>
  </r>
  <r>
    <s v="03-26-2025"/>
    <s v="OTC"/>
    <s v="Manisha Rani"/>
    <n v="6"/>
    <x v="12"/>
    <s v="Sanofi India"/>
    <s v="BET1224A"/>
    <d v="2026-06-01T00:00:00"/>
    <n v="720"/>
    <s v="March"/>
    <x v="1"/>
  </r>
  <r>
    <s v="03-26-2025"/>
    <s v="Dr. Kamaljeet Sambhyl"/>
    <s v="Tamanna Dhaka"/>
    <n v="9"/>
    <x v="13"/>
    <s v="Mankind Pharma"/>
    <s v="ALB0325A"/>
    <d v="2027-03-01T00:00:00"/>
    <n v="180"/>
    <s v="March"/>
    <x v="1"/>
  </r>
  <r>
    <s v="03-26-2025"/>
    <s v="Dr. Ramphal Dhaka"/>
    <s v="Mandeep Kumar"/>
    <n v="21"/>
    <x v="14"/>
    <s v="Pfizer India"/>
    <s v="OXY0425X"/>
    <d v="2023-12-01T00:00:00"/>
    <n v="630"/>
    <s v="March"/>
    <x v="0"/>
  </r>
  <r>
    <s v="03-26-2025"/>
    <s v="OTC"/>
    <s v="Hari Singh"/>
    <n v="9"/>
    <x v="15"/>
    <s v="Abbott India"/>
    <s v="ENR1224A"/>
    <d v="2027-09-01T00:00:00"/>
    <n v="360"/>
    <s v="March"/>
    <x v="1"/>
  </r>
  <r>
    <s v="03-26-2025"/>
    <s v="Dr. Renu Bansal"/>
    <s v="Mandeep Kumar"/>
    <n v="17"/>
    <x v="16"/>
    <s v="Sun Pharma"/>
    <s v="IVE0425C"/>
    <d v="2027-03-01T00:00:00"/>
    <n v="850"/>
    <s v="March"/>
    <x v="1"/>
  </r>
  <r>
    <s v="03-27-2025"/>
    <s v="Dr. HC Dahiya"/>
    <s v="Tamanna Dhaka"/>
    <n v="4"/>
    <x v="0"/>
    <s v="Cipla"/>
    <s v="PAR1224B"/>
    <d v="2027-08-01T00:00:00"/>
    <n v="8"/>
    <s v="March"/>
    <x v="1"/>
  </r>
  <r>
    <s v="03-27-2025"/>
    <s v="Dr. Ramphal Dhaka"/>
    <s v="Mandeep Kumar"/>
    <n v="8"/>
    <x v="1"/>
    <s v="Sun Pharma"/>
    <s v="IBU0125C"/>
    <d v="2026-05-01T00:00:00"/>
    <n v="24"/>
    <s v="March"/>
    <x v="1"/>
  </r>
  <r>
    <s v="03-27-2025"/>
    <s v="Dr. Rajesh Batra"/>
    <s v="Sahil Chundwal"/>
    <n v="17"/>
    <x v="2"/>
    <s v="Dr. Reddyâ€™s"/>
    <s v="AMO1224X"/>
    <d v="2027-07-01T00:00:00"/>
    <n v="136"/>
    <s v="March"/>
    <x v="1"/>
  </r>
  <r>
    <s v="03-27-2025"/>
    <s v="Dr. Rajesh Batra"/>
    <s v="Ankit Bhadu"/>
    <n v="24"/>
    <x v="3"/>
    <s v="Zydus Cadila"/>
    <s v="CET0225A"/>
    <d v="2023-11-01T00:00:00"/>
    <n v="72"/>
    <s v="March"/>
    <x v="0"/>
  </r>
  <r>
    <s v="03-27-2025"/>
    <s v="Dr. Manohar Pahuja"/>
    <s v="Ravi Dhaka"/>
    <n v="3"/>
    <x v="4"/>
    <s v="Lupin"/>
    <s v="MET1224C"/>
    <d v="2026-08-01T00:00:00"/>
    <n v="12"/>
    <s v="March"/>
    <x v="1"/>
  </r>
  <r>
    <s v="03-27-2025"/>
    <s v="OTC"/>
    <s v="Ravi Dhaka"/>
    <n v="10"/>
    <x v="5"/>
    <s v="Torrent Pharma"/>
    <s v="AML0225B"/>
    <d v="2026-11-01T00:00:00"/>
    <n v="50"/>
    <s v="March"/>
    <x v="1"/>
  </r>
  <r>
    <s v="03-27-2025"/>
    <s v="Dr. Virender Siwach"/>
    <s v="Mandeep Kumar"/>
    <n v="23"/>
    <x v="6"/>
    <s v="Alkem Laboratories"/>
    <s v="ATE0125/25"/>
    <d v="2026-09-01T00:00:00"/>
    <n v="138"/>
    <s v="March"/>
    <x v="1"/>
  </r>
  <r>
    <s v="03-27-2025"/>
    <s v="OTC"/>
    <s v="Manisha Rani"/>
    <n v="16"/>
    <x v="7"/>
    <s v="Cipla"/>
    <s v="SAL0425C"/>
    <d v="2026-10-01T00:00:00"/>
    <n v="64"/>
    <s v="March"/>
    <x v="1"/>
  </r>
  <r>
    <s v="03-28-2025"/>
    <s v="Dr. Virender Siwach"/>
    <s v="Tamanna Dhaka"/>
    <n v="12"/>
    <x v="8"/>
    <s v="Sun Pharma"/>
    <s v="DOX1224A"/>
    <d v="2025-02-01T00:00:00"/>
    <n v="120"/>
    <s v="March"/>
    <x v="0"/>
  </r>
  <r>
    <s v="03-28-2025"/>
    <s v="Dr. Renu Bansal"/>
    <s v="Sumitra Devi"/>
    <n v="16"/>
    <x v="9"/>
    <s v="Mankind Pharma"/>
    <s v="PAN0125/25"/>
    <d v="2026-02-01T00:00:00"/>
    <n v="80"/>
    <s v="March"/>
    <x v="1"/>
  </r>
  <r>
    <s v="03-28-2025"/>
    <s v="Dr. Rajesh Batra"/>
    <s v="Shyam Sunder"/>
    <n v="21"/>
    <x v="10"/>
    <s v="GSK India"/>
    <s v="CRO1224/25"/>
    <d v="2027-07-01T00:00:00"/>
    <n v="42"/>
    <s v="March"/>
    <x v="1"/>
  </r>
  <r>
    <s v="03-28-2025"/>
    <s v="Dr. Rajesh Batra"/>
    <s v="Sumitra Devi"/>
    <n v="12"/>
    <x v="11"/>
    <s v="GSK India"/>
    <s v="ENO0325A"/>
    <d v="2026-07-01T00:00:00"/>
    <n v="120"/>
    <s v="March"/>
    <x v="1"/>
  </r>
  <r>
    <s v="03-28-2025"/>
    <s v="Dr. Vinay Singla"/>
    <s v="Naresh Didharia"/>
    <n v="14"/>
    <x v="12"/>
    <s v="Sanofi India"/>
    <s v="BET0225/25"/>
    <d v="2026-07-01T00:00:00"/>
    <n v="1680"/>
    <s v="March"/>
    <x v="1"/>
  </r>
  <r>
    <s v="03-28-2025"/>
    <s v="Dr. Geeta Choudhary"/>
    <s v="Krishan Singh"/>
    <n v="12"/>
    <x v="13"/>
    <s v="Mankind Pharma"/>
    <s v="ALB0125C"/>
    <d v="2024-10-01T00:00:00"/>
    <n v="240"/>
    <s v="March"/>
    <x v="0"/>
  </r>
  <r>
    <s v="03-28-2025"/>
    <s v="Dr. Renu Bansal"/>
    <s v="Mandeep Kumar"/>
    <n v="10"/>
    <x v="14"/>
    <s v="Pfizer India"/>
    <s v="OXY0125A"/>
    <d v="2026-09-01T00:00:00"/>
    <n v="300"/>
    <s v="March"/>
    <x v="1"/>
  </r>
  <r>
    <s v="03-28-2025"/>
    <s v="Dr. Anshul Sehgal"/>
    <s v="Sumitra Devi"/>
    <n v="19"/>
    <x v="15"/>
    <s v="Abbott India"/>
    <s v="ENR0225C"/>
    <d v="2026-12-01T00:00:00"/>
    <n v="760"/>
    <s v="March"/>
    <x v="1"/>
  </r>
  <r>
    <s v="03-29-2025"/>
    <s v="OTC"/>
    <s v="Naresh Didharia"/>
    <n v="2"/>
    <x v="16"/>
    <s v="Sun Pharma"/>
    <s v="IVE0325B"/>
    <d v="2027-12-01T00:00:00"/>
    <n v="100"/>
    <s v="March"/>
    <x v="1"/>
  </r>
  <r>
    <s v="03-29-2025"/>
    <s v="OTC"/>
    <s v="Amit Dhaka"/>
    <n v="9"/>
    <x v="0"/>
    <s v="Cipla"/>
    <s v="PAR0225A"/>
    <d v="2026-10-01T00:00:00"/>
    <n v="18"/>
    <s v="March"/>
    <x v="1"/>
  </r>
  <r>
    <s v="03-29-2025"/>
    <s v="OTC"/>
    <s v="Sanjay Riwar"/>
    <n v="21"/>
    <x v="1"/>
    <s v="Sun Pharma"/>
    <s v="IBU0325B"/>
    <d v="2025-05-01T00:00:00"/>
    <n v="63"/>
    <s v="March"/>
    <x v="0"/>
  </r>
  <r>
    <s v="03-29-2025"/>
    <s v="Dr. Virender Siwach"/>
    <s v="Mohit Chaberwal"/>
    <n v="3"/>
    <x v="2"/>
    <s v="Dr. Reddyâ€™s"/>
    <s v="AMO0225A"/>
    <d v="2027-07-01T00:00:00"/>
    <n v="24"/>
    <s v="March"/>
    <x v="1"/>
  </r>
  <r>
    <s v="03-29-2025"/>
    <s v="OTC"/>
    <s v="Radhe Shaym"/>
    <n v="11"/>
    <x v="3"/>
    <s v="Zydus Cadila"/>
    <s v="CET0325B"/>
    <d v="2026-04-01T00:00:00"/>
    <n v="33"/>
    <s v="March"/>
    <x v="1"/>
  </r>
  <r>
    <s v="03-29-2025"/>
    <s v="OTC"/>
    <s v="Ravi Dhaka"/>
    <n v="30"/>
    <x v="4"/>
    <s v="Lupin"/>
    <s v="MET0225/25"/>
    <d v="2026-12-01T00:00:00"/>
    <n v="120"/>
    <s v="March"/>
    <x v="1"/>
  </r>
  <r>
    <s v="03-29-2025"/>
    <s v="OTC"/>
    <s v="Krishan Singh"/>
    <n v="11"/>
    <x v="5"/>
    <s v="Torrent Pharma"/>
    <s v="AML0225C"/>
    <d v="2025-02-01T00:00:00"/>
    <n v="55"/>
    <s v="March"/>
    <x v="0"/>
  </r>
  <r>
    <s v="03-29-2025"/>
    <s v="OTC"/>
    <s v="Randhir Fageria"/>
    <n v="17"/>
    <x v="6"/>
    <s v="Alkem Laboratories"/>
    <s v="ATE1224B"/>
    <d v="2027-07-01T00:00:00"/>
    <n v="102"/>
    <s v="March"/>
    <x v="1"/>
  </r>
  <r>
    <s v="03-30-2025"/>
    <s v="Dr. Anshul Sehgal"/>
    <s v="Krishan Singh"/>
    <n v="30"/>
    <x v="7"/>
    <s v="Cipla"/>
    <s v="SAL0325A"/>
    <d v="2026-10-01T00:00:00"/>
    <n v="120"/>
    <s v="March"/>
    <x v="1"/>
  </r>
  <r>
    <s v="03-30-2025"/>
    <s v="OTC"/>
    <s v="Balbir Fageria"/>
    <n v="10"/>
    <x v="8"/>
    <s v="Sun Pharma"/>
    <s v="DOX0325C"/>
    <d v="2028-01-01T00:00:00"/>
    <n v="100"/>
    <s v="March"/>
    <x v="1"/>
  </r>
  <r>
    <s v="03-30-2025"/>
    <s v="OTC"/>
    <s v="Baljinder Singh"/>
    <n v="13"/>
    <x v="9"/>
    <s v="Mankind Pharma"/>
    <s v="PAN1224X"/>
    <d v="2026-10-01T00:00:00"/>
    <n v="65"/>
    <s v="March"/>
    <x v="1"/>
  </r>
  <r>
    <s v="03-30-2025"/>
    <s v="Dr. Kamaljeet Sambhyl"/>
    <s v="Ram Kumar"/>
    <n v="29"/>
    <x v="10"/>
    <s v="GSK India"/>
    <s v="CRO0325B"/>
    <d v="2025-08-01T00:00:00"/>
    <n v="58"/>
    <s v="March"/>
    <x v="1"/>
  </r>
  <r>
    <s v="03-30-2025"/>
    <s v="Dr. Renu Bansal"/>
    <s v="Sanjay Riwar"/>
    <n v="2"/>
    <x v="11"/>
    <s v="GSK India"/>
    <s v="ENO0325C"/>
    <d v="2027-02-01T00:00:00"/>
    <n v="20"/>
    <s v="March"/>
    <x v="1"/>
  </r>
  <r>
    <s v="03-30-2025"/>
    <s v="Dr. Vinay Singla"/>
    <s v="Amit Dhaka"/>
    <n v="24"/>
    <x v="12"/>
    <s v="Sanofi India"/>
    <s v="BET1224A"/>
    <d v="2027-08-01T00:00:00"/>
    <n v="2880"/>
    <s v="March"/>
    <x v="1"/>
  </r>
  <r>
    <s v="03-30-2025"/>
    <s v="Dr. Virender Siwach"/>
    <s v="Krishan Singh"/>
    <n v="25"/>
    <x v="13"/>
    <s v="Mankind Pharma"/>
    <s v="ALB0225/25"/>
    <d v="2027-09-01T00:00:00"/>
    <n v="500"/>
    <s v="March"/>
    <x v="1"/>
  </r>
  <r>
    <s v="03-30-2025"/>
    <s v="Dr. Satbir Khumber"/>
    <s v="Naseeb Khakhal"/>
    <n v="23"/>
    <x v="14"/>
    <s v="Pfizer India"/>
    <s v="OXY1224B"/>
    <d v="2027-04-01T00:00:00"/>
    <n v="690"/>
    <s v="March"/>
    <x v="1"/>
  </r>
  <r>
    <s v="03-31-2025"/>
    <s v="OTC"/>
    <s v="Ram Kumar"/>
    <n v="6"/>
    <x v="15"/>
    <s v="Abbott India"/>
    <s v="ENR1224/25"/>
    <d v="2027-02-01T00:00:00"/>
    <n v="240"/>
    <s v="March"/>
    <x v="1"/>
  </r>
  <r>
    <s v="03-31-2025"/>
    <s v="OTC"/>
    <s v="Yogesh Khicher"/>
    <n v="4"/>
    <x v="16"/>
    <s v="Sun Pharma"/>
    <s v="IVE0325B"/>
    <d v="2025-11-01T00:00:00"/>
    <n v="200"/>
    <s v="March"/>
    <x v="1"/>
  </r>
  <r>
    <s v="03-31-2025"/>
    <s v="OTC"/>
    <s v="Tamanna Dhaka"/>
    <n v="30"/>
    <x v="0"/>
    <s v="Cipla"/>
    <s v="PAR0225C"/>
    <d v="2027-09-01T00:00:00"/>
    <n v="60"/>
    <s v="March"/>
    <x v="1"/>
  </r>
  <r>
    <s v="03-31-2025"/>
    <s v="OTC"/>
    <s v="Ram Kumar"/>
    <n v="21"/>
    <x v="1"/>
    <s v="Sun Pharma"/>
    <s v="IBU0425X"/>
    <d v="2026-07-01T00:00:00"/>
    <n v="63"/>
    <s v="March"/>
    <x v="1"/>
  </r>
  <r>
    <s v="03-31-2025"/>
    <s v="Dr. Rajesh Batra"/>
    <s v="Santosh Rani"/>
    <n v="8"/>
    <x v="2"/>
    <s v="Dr. Reddyâ€™s"/>
    <s v="AMO0125X"/>
    <d v="2027-03-01T00:00:00"/>
    <n v="64"/>
    <s v="March"/>
    <x v="1"/>
  </r>
  <r>
    <s v="03-31-2025"/>
    <s v="Dr. HC Dahiya"/>
    <s v="Chander Bhan"/>
    <n v="22"/>
    <x v="3"/>
    <s v="Zydus Cadila"/>
    <s v="CET0325B"/>
    <d v="2027-04-01T00:00:00"/>
    <n v="66"/>
    <s v="March"/>
    <x v="1"/>
  </r>
  <r>
    <s v="03-31-2025"/>
    <s v="OTC"/>
    <s v="Sahil Chundwal"/>
    <n v="10"/>
    <x v="4"/>
    <s v="Lupin"/>
    <s v="MET0225/25"/>
    <d v="2026-06-01T00:00:00"/>
    <n v="40"/>
    <s v="March"/>
    <x v="1"/>
  </r>
  <r>
    <s v="03-31-2025"/>
    <s v="Dr. Ramphal Dhaka"/>
    <s v="Brijlalal Dhaka"/>
    <n v="22"/>
    <x v="5"/>
    <s v="Torrent Pharma"/>
    <s v="AML1224/25"/>
    <d v="2024-12-01T00:00:00"/>
    <n v="110"/>
    <s v="March"/>
    <x v="0"/>
  </r>
  <r>
    <d v="2025-01-04T00:00:00"/>
    <s v="Dr. Rajesh Batra"/>
    <s v="Amit Dhaka"/>
    <n v="18"/>
    <x v="6"/>
    <s v="Alkem Laboratories"/>
    <s v="ATE0425/25"/>
    <d v="2028-02-01T00:00:00"/>
    <n v="108"/>
    <s v="April"/>
    <x v="1"/>
  </r>
  <r>
    <d v="2025-01-04T00:00:00"/>
    <s v="Dr. HC Dahiya"/>
    <s v="Mandeep Kumar"/>
    <n v="23"/>
    <x v="7"/>
    <s v="Cipla"/>
    <s v="SAL0325C"/>
    <d v="2027-08-01T00:00:00"/>
    <n v="92"/>
    <s v="April"/>
    <x v="1"/>
  </r>
  <r>
    <d v="2025-01-04T00:00:00"/>
    <s v="Dr. Renu Bansal"/>
    <s v="Naseeb Khakhal"/>
    <n v="29"/>
    <x v="8"/>
    <s v="Sun Pharma"/>
    <s v="DOX0325/25"/>
    <d v="2027-12-01T00:00:00"/>
    <n v="290"/>
    <s v="April"/>
    <x v="1"/>
  </r>
  <r>
    <d v="2025-01-04T00:00:00"/>
    <s v="Dr. Ramphal Dhaka"/>
    <s v="Mandeep Kumar"/>
    <n v="29"/>
    <x v="9"/>
    <s v="Mankind Pharma"/>
    <s v="PAN0325C"/>
    <d v="2026-11-01T00:00:00"/>
    <n v="145"/>
    <s v="April"/>
    <x v="1"/>
  </r>
  <r>
    <d v="2025-01-04T00:00:00"/>
    <s v="Dr. HC Dahiya"/>
    <s v="Kuldeep Singh"/>
    <n v="3"/>
    <x v="10"/>
    <s v="GSK India"/>
    <s v="CRO0225X"/>
    <d v="2027-11-01T00:00:00"/>
    <n v="6"/>
    <s v="April"/>
    <x v="1"/>
  </r>
  <r>
    <d v="2025-01-04T00:00:00"/>
    <s v="Dr. Renu Bansal"/>
    <s v="Sube Ram"/>
    <n v="5"/>
    <x v="11"/>
    <s v="GSK India"/>
    <s v="ENO0125X"/>
    <d v="2027-09-01T00:00:00"/>
    <n v="50"/>
    <s v="April"/>
    <x v="1"/>
  </r>
  <r>
    <d v="2025-01-04T00:00:00"/>
    <s v="Dr. Renu Bansal"/>
    <s v="Sumit Kumar"/>
    <n v="27"/>
    <x v="12"/>
    <s v="Sanofi India"/>
    <s v="BET0425A"/>
    <d v="2024-01-01T00:00:00"/>
    <n v="3240"/>
    <s v="April"/>
    <x v="0"/>
  </r>
  <r>
    <d v="2025-01-04T00:00:00"/>
    <s v="OTC"/>
    <s v="Sahil Chundwal"/>
    <n v="8"/>
    <x v="13"/>
    <s v="Mankind Pharma"/>
    <s v="ALB1224X"/>
    <d v="2027-11-01T00:00:00"/>
    <n v="160"/>
    <s v="April"/>
    <x v="1"/>
  </r>
  <r>
    <d v="2025-02-04T00:00:00"/>
    <s v="OTC"/>
    <s v="Randhir Fageria"/>
    <n v="22"/>
    <x v="14"/>
    <s v="Pfizer India"/>
    <s v="OXY0125C"/>
    <d v="2026-01-01T00:00:00"/>
    <n v="660"/>
    <s v="April"/>
    <x v="1"/>
  </r>
  <r>
    <d v="2025-02-04T00:00:00"/>
    <s v="Dr. Ramphal Dhaka"/>
    <s v="Shishpal Sharma"/>
    <n v="26"/>
    <x v="15"/>
    <s v="Abbott India"/>
    <s v="ENR0125B"/>
    <d v="2026-08-01T00:00:00"/>
    <n v="1040"/>
    <s v="April"/>
    <x v="1"/>
  </r>
  <r>
    <d v="2025-02-04T00:00:00"/>
    <s v="Dr. Sameer Tuteja"/>
    <s v="Sube Ram"/>
    <n v="17"/>
    <x v="16"/>
    <s v="Sun Pharma"/>
    <s v="IVE1224/25"/>
    <d v="2026-03-01T00:00:00"/>
    <n v="850"/>
    <s v="April"/>
    <x v="1"/>
  </r>
  <r>
    <d v="2025-02-04T00:00:00"/>
    <s v="Dr. HC Dahiya"/>
    <s v="Krishan Singh"/>
    <n v="27"/>
    <x v="0"/>
    <s v="Cipla"/>
    <s v="PAR0125X"/>
    <d v="2027-08-01T00:00:00"/>
    <n v="54"/>
    <s v="April"/>
    <x v="1"/>
  </r>
  <r>
    <d v="2025-02-04T00:00:00"/>
    <s v="OTC"/>
    <s v="Brijlalal Dhaka"/>
    <n v="19"/>
    <x v="1"/>
    <s v="Sun Pharma"/>
    <s v="IBU0425X"/>
    <d v="2028-01-01T00:00:00"/>
    <n v="57"/>
    <s v="April"/>
    <x v="1"/>
  </r>
  <r>
    <d v="2025-02-04T00:00:00"/>
    <s v="Dr. Ramphal Dhaka"/>
    <s v="Dinesh Sharma"/>
    <n v="29"/>
    <x v="2"/>
    <s v="Dr. Reddyâ€™s"/>
    <s v="AMO0425A"/>
    <d v="2028-02-01T00:00:00"/>
    <n v="232"/>
    <s v="April"/>
    <x v="1"/>
  </r>
  <r>
    <d v="2025-02-04T00:00:00"/>
    <s v="Dr. Geeta Choudhary"/>
    <s v="Shishpal Sharma"/>
    <n v="13"/>
    <x v="3"/>
    <s v="Zydus Cadila"/>
    <s v="CET0425/25"/>
    <d v="2024-12-01T00:00:00"/>
    <n v="39"/>
    <s v="April"/>
    <x v="0"/>
  </r>
  <r>
    <d v="2025-02-04T00:00:00"/>
    <s v="OTC"/>
    <s v="Dinesh Sharma"/>
    <n v="18"/>
    <x v="4"/>
    <s v="Lupin"/>
    <s v="MET0125A"/>
    <d v="2026-07-01T00:00:00"/>
    <n v="72"/>
    <s v="April"/>
    <x v="1"/>
  </r>
  <r>
    <d v="2025-03-04T00:00:00"/>
    <s v="OTC"/>
    <s v="Hari Singh"/>
    <n v="5"/>
    <x v="5"/>
    <s v="Torrent Pharma"/>
    <s v="AML0425C"/>
    <d v="2026-06-01T00:00:00"/>
    <n v="25"/>
    <s v="April"/>
    <x v="1"/>
  </r>
  <r>
    <d v="2025-03-04T00:00:00"/>
    <s v="Dr. Vinay Singla"/>
    <s v="Ankit Bhadu"/>
    <n v="26"/>
    <x v="6"/>
    <s v="Alkem Laboratories"/>
    <s v="ATE1224C"/>
    <d v="2027-02-01T00:00:00"/>
    <n v="156"/>
    <s v="April"/>
    <x v="1"/>
  </r>
  <r>
    <d v="2025-03-04T00:00:00"/>
    <s v="OTC"/>
    <s v="Ramkla Devi"/>
    <n v="21"/>
    <x v="7"/>
    <s v="Cipla"/>
    <s v="SAL0125A"/>
    <d v="2027-12-01T00:00:00"/>
    <n v="84"/>
    <s v="April"/>
    <x v="1"/>
  </r>
  <r>
    <d v="2025-03-04T00:00:00"/>
    <s v="Dr. Manohar Pahuja"/>
    <s v="Krishan Singh"/>
    <n v="27"/>
    <x v="8"/>
    <s v="Sun Pharma"/>
    <s v="DOX0125A"/>
    <d v="2027-04-01T00:00:00"/>
    <n v="270"/>
    <s v="April"/>
    <x v="1"/>
  </r>
  <r>
    <d v="2025-03-04T00:00:00"/>
    <s v="Dr. Manohar Pahuja"/>
    <s v="Raman Dhaka"/>
    <n v="1"/>
    <x v="9"/>
    <s v="Mankind Pharma"/>
    <s v="PAN1224A"/>
    <d v="2024-12-01T00:00:00"/>
    <n v="5"/>
    <s v="April"/>
    <x v="0"/>
  </r>
  <r>
    <d v="2025-03-04T00:00:00"/>
    <s v="OTC"/>
    <s v="Dinesh Sharma"/>
    <n v="21"/>
    <x v="10"/>
    <s v="GSK India"/>
    <s v="CRO0225B"/>
    <d v="2026-05-01T00:00:00"/>
    <n v="42"/>
    <s v="April"/>
    <x v="1"/>
  </r>
  <r>
    <d v="2025-03-04T00:00:00"/>
    <s v="OTC"/>
    <s v="Krishan Singh"/>
    <n v="10"/>
    <x v="11"/>
    <s v="GSK India"/>
    <s v="ENO0125A"/>
    <d v="2026-06-01T00:00:00"/>
    <n v="100"/>
    <s v="April"/>
    <x v="1"/>
  </r>
  <r>
    <d v="2025-03-04T00:00:00"/>
    <s v="Dr. Renu Bansal"/>
    <s v="Santosh Rani"/>
    <n v="17"/>
    <x v="12"/>
    <s v="Sanofi India"/>
    <s v="BET1224/25"/>
    <d v="2026-01-01T00:00:00"/>
    <n v="2040"/>
    <s v="April"/>
    <x v="1"/>
  </r>
  <r>
    <d v="2025-04-04T00:00:00"/>
    <s v="Dr. Renu Bansal"/>
    <s v="Sita Ram"/>
    <n v="24"/>
    <x v="13"/>
    <s v="Mankind Pharma"/>
    <s v="ALB0425/25"/>
    <d v="2026-08-01T00:00:00"/>
    <n v="480"/>
    <s v="April"/>
    <x v="1"/>
  </r>
  <r>
    <d v="2025-04-04T00:00:00"/>
    <s v="Dr. Anshul Sehgal"/>
    <s v="Ramkla Devi"/>
    <n v="17"/>
    <x v="14"/>
    <s v="Pfizer India"/>
    <s v="OXY0125A"/>
    <d v="2027-04-01T00:00:00"/>
    <n v="510"/>
    <s v="April"/>
    <x v="1"/>
  </r>
  <r>
    <d v="2025-04-04T00:00:00"/>
    <s v="OTC"/>
    <s v="Kuldeep Singh"/>
    <n v="13"/>
    <x v="15"/>
    <s v="Abbott India"/>
    <s v="ENR0225C"/>
    <d v="2024-12-01T00:00:00"/>
    <n v="520"/>
    <s v="April"/>
    <x v="0"/>
  </r>
  <r>
    <d v="2025-04-04T00:00:00"/>
    <s v="Dr. Satbir Khumber"/>
    <s v="Sita Ram"/>
    <n v="24"/>
    <x v="16"/>
    <s v="Sun Pharma"/>
    <s v="IVE1224A"/>
    <d v="2027-02-01T00:00:00"/>
    <n v="1200"/>
    <s v="April"/>
    <x v="1"/>
  </r>
  <r>
    <d v="2025-04-04T00:00:00"/>
    <s v="OTC"/>
    <s v="Ram Kumar"/>
    <n v="21"/>
    <x v="0"/>
    <s v="Cipla"/>
    <s v="PAR0225A"/>
    <d v="2026-04-01T00:00:00"/>
    <n v="42"/>
    <s v="April"/>
    <x v="1"/>
  </r>
  <r>
    <d v="2025-04-04T00:00:00"/>
    <s v="Dr. Kamaljeet Sambhyl"/>
    <s v="Sanjay Riwar"/>
    <n v="11"/>
    <x v="1"/>
    <s v="Sun Pharma"/>
    <s v="IBU0225A"/>
    <d v="2027-09-01T00:00:00"/>
    <n v="33"/>
    <s v="April"/>
    <x v="1"/>
  </r>
  <r>
    <d v="2025-04-04T00:00:00"/>
    <s v="OTC"/>
    <s v="Amar Burdak"/>
    <n v="30"/>
    <x v="2"/>
    <s v="Dr. Reddyâ€™s"/>
    <s v="AMO0325C"/>
    <d v="2027-08-01T00:00:00"/>
    <n v="240"/>
    <s v="April"/>
    <x v="1"/>
  </r>
  <r>
    <d v="2025-04-04T00:00:00"/>
    <s v="Dr. Renu Bansal"/>
    <s v="Dinesh Sharma"/>
    <n v="23"/>
    <x v="3"/>
    <s v="Zydus Cadila"/>
    <s v="CET0325B"/>
    <d v="2027-01-01T00:00:00"/>
    <n v="69"/>
    <s v="April"/>
    <x v="1"/>
  </r>
  <r>
    <d v="2025-05-04T00:00:00"/>
    <s v="Dr. HC Dahiya"/>
    <s v="Yogesh Khicher"/>
    <n v="29"/>
    <x v="4"/>
    <s v="Lupin"/>
    <s v="MET1224B"/>
    <d v="2025-02-01T00:00:00"/>
    <n v="116"/>
    <s v="April"/>
    <x v="0"/>
  </r>
  <r>
    <d v="2025-05-04T00:00:00"/>
    <s v="OTC"/>
    <s v="Dinesh Sharma"/>
    <n v="29"/>
    <x v="5"/>
    <s v="Torrent Pharma"/>
    <s v="AML0125B"/>
    <d v="2027-03-01T00:00:00"/>
    <n v="145"/>
    <s v="April"/>
    <x v="1"/>
  </r>
  <r>
    <d v="2025-05-04T00:00:00"/>
    <s v="OTC"/>
    <s v="Sita Ram"/>
    <n v="15"/>
    <x v="6"/>
    <s v="Alkem Laboratories"/>
    <s v="ATE0425/25"/>
    <d v="2028-01-01T00:00:00"/>
    <n v="90"/>
    <s v="April"/>
    <x v="1"/>
  </r>
  <r>
    <d v="2025-05-04T00:00:00"/>
    <s v="Dr. Manohar Pahuja"/>
    <s v="Raman Dhaka"/>
    <n v="6"/>
    <x v="7"/>
    <s v="Cipla"/>
    <s v="SAL0225B"/>
    <d v="2026-10-01T00:00:00"/>
    <n v="24"/>
    <s v="April"/>
    <x v="1"/>
  </r>
  <r>
    <d v="2025-05-04T00:00:00"/>
    <s v="OTC"/>
    <s v="Randhir Fageria"/>
    <n v="23"/>
    <x v="8"/>
    <s v="Sun Pharma"/>
    <s v="DOX0125B"/>
    <d v="2027-04-01T00:00:00"/>
    <n v="230"/>
    <s v="April"/>
    <x v="1"/>
  </r>
  <r>
    <d v="2025-05-04T00:00:00"/>
    <s v="OTC"/>
    <s v="Pawan Khakhal"/>
    <n v="6"/>
    <x v="9"/>
    <s v="Mankind Pharma"/>
    <s v="PAN0325X"/>
    <d v="2025-03-01T00:00:00"/>
    <n v="30"/>
    <s v="April"/>
    <x v="0"/>
  </r>
  <r>
    <d v="2025-05-04T00:00:00"/>
    <s v="OTC"/>
    <s v="Mandeep Kumar"/>
    <n v="13"/>
    <x v="10"/>
    <s v="GSK India"/>
    <s v="CRO0125B"/>
    <d v="2026-08-01T00:00:00"/>
    <n v="26"/>
    <s v="April"/>
    <x v="1"/>
  </r>
  <r>
    <d v="2025-05-04T00:00:00"/>
    <s v="Dr. Vinay Singla"/>
    <s v="Naseeb Khakhal"/>
    <n v="3"/>
    <x v="11"/>
    <s v="GSK India"/>
    <s v="ENO1224X"/>
    <d v="2027-01-01T00:00:00"/>
    <n v="30"/>
    <s v="April"/>
    <x v="1"/>
  </r>
  <r>
    <d v="2025-06-04T00:00:00"/>
    <s v="OTC"/>
    <s v="Pawan Khakhal"/>
    <n v="23"/>
    <x v="12"/>
    <s v="Sanofi India"/>
    <s v="BET0325B"/>
    <d v="2027-02-01T00:00:00"/>
    <n v="2760"/>
    <s v="April"/>
    <x v="1"/>
  </r>
  <r>
    <d v="2025-06-04T00:00:00"/>
    <s v="OTC"/>
    <s v="Manisha Rani"/>
    <n v="2"/>
    <x v="13"/>
    <s v="Mankind Pharma"/>
    <s v="ALB1224/25"/>
    <d v="2027-06-01T00:00:00"/>
    <n v="40"/>
    <s v="April"/>
    <x v="1"/>
  </r>
  <r>
    <d v="2025-06-04T00:00:00"/>
    <s v="Dr. Kamaljeet Sambhyl"/>
    <s v="Umesh Kumar"/>
    <n v="8"/>
    <x v="14"/>
    <s v="Pfizer India"/>
    <s v="OXY0325A"/>
    <d v="2025-02-01T00:00:00"/>
    <n v="240"/>
    <s v="April"/>
    <x v="0"/>
  </r>
  <r>
    <d v="2025-06-04T00:00:00"/>
    <s v="OTC"/>
    <s v="Sube Ram"/>
    <n v="26"/>
    <x v="15"/>
    <s v="Abbott India"/>
    <s v="ENR0225C"/>
    <d v="2026-02-01T00:00:00"/>
    <n v="1040"/>
    <s v="April"/>
    <x v="1"/>
  </r>
  <r>
    <d v="2025-06-04T00:00:00"/>
    <s v="OTC"/>
    <s v="Krishan Singh"/>
    <n v="14"/>
    <x v="16"/>
    <s v="Sun Pharma"/>
    <s v="IVE0425/25"/>
    <d v="2027-11-01T00:00:00"/>
    <n v="700"/>
    <s v="April"/>
    <x v="1"/>
  </r>
  <r>
    <d v="2025-06-04T00:00:00"/>
    <s v="Dr. Vinay Singla"/>
    <s v="Shishpal Sharma"/>
    <n v="20"/>
    <x v="0"/>
    <s v="Cipla"/>
    <s v="PAR0125B"/>
    <d v="2027-02-01T00:00:00"/>
    <n v="40"/>
    <s v="April"/>
    <x v="1"/>
  </r>
  <r>
    <d v="2025-06-04T00:00:00"/>
    <s v="Dr. Manohar Pahuja"/>
    <s v="Ankit Bhadu"/>
    <n v="28"/>
    <x v="1"/>
    <s v="Sun Pharma"/>
    <s v="IBU0125X"/>
    <d v="2027-01-01T00:00:00"/>
    <n v="84"/>
    <s v="April"/>
    <x v="1"/>
  </r>
  <r>
    <d v="2025-06-04T00:00:00"/>
    <s v="OTC"/>
    <s v="Hari Singh"/>
    <n v="28"/>
    <x v="2"/>
    <s v="Dr. Reddyâ€™s"/>
    <s v="AMO0125A"/>
    <d v="2026-03-01T00:00:00"/>
    <n v="224"/>
    <s v="April"/>
    <x v="1"/>
  </r>
  <r>
    <d v="2025-07-04T00:00:00"/>
    <s v="Dr. Rajesh Batra"/>
    <s v="Sanjay Riwar"/>
    <n v="14"/>
    <x v="3"/>
    <s v="Zydus Cadila"/>
    <s v="CET0125B"/>
    <d v="2027-12-01T00:00:00"/>
    <n v="42"/>
    <s v="April"/>
    <x v="1"/>
  </r>
  <r>
    <d v="2025-07-04T00:00:00"/>
    <s v="OTC"/>
    <s v="Santosh Rani"/>
    <n v="11"/>
    <x v="4"/>
    <s v="Lupin"/>
    <s v="MET1224A"/>
    <d v="2025-11-01T00:00:00"/>
    <n v="44"/>
    <s v="April"/>
    <x v="1"/>
  </r>
  <r>
    <d v="2025-07-04T00:00:00"/>
    <s v="Dr. HC Dahiya"/>
    <s v="Krishan Singh"/>
    <n v="22"/>
    <x v="5"/>
    <s v="Torrent Pharma"/>
    <s v="AML0325X"/>
    <d v="2027-10-01T00:00:00"/>
    <n v="110"/>
    <s v="April"/>
    <x v="1"/>
  </r>
  <r>
    <d v="2025-07-04T00:00:00"/>
    <s v="Dr. Renu Bansal"/>
    <s v="Umesh Kumar"/>
    <n v="1"/>
    <x v="6"/>
    <s v="Alkem Laboratories"/>
    <s v="ATE0225C"/>
    <d v="2026-04-01T00:00:00"/>
    <n v="6"/>
    <s v="April"/>
    <x v="1"/>
  </r>
  <r>
    <d v="2025-07-04T00:00:00"/>
    <s v="OTC"/>
    <s v="Shyam Sunder"/>
    <n v="23"/>
    <x v="7"/>
    <s v="Cipla"/>
    <s v="SAL1224/25"/>
    <d v="2026-06-01T00:00:00"/>
    <n v="92"/>
    <s v="April"/>
    <x v="1"/>
  </r>
  <r>
    <d v="2025-07-04T00:00:00"/>
    <s v="Dr. Sameer Tuteja"/>
    <s v="Randhir Fageria"/>
    <n v="3"/>
    <x v="8"/>
    <s v="Sun Pharma"/>
    <s v="DOX0125B"/>
    <d v="2027-03-01T00:00:00"/>
    <n v="30"/>
    <s v="April"/>
    <x v="1"/>
  </r>
  <r>
    <d v="2025-07-04T00:00:00"/>
    <s v="Dr. Ramphal Dhaka"/>
    <s v="Umesh Kumar"/>
    <n v="30"/>
    <x v="9"/>
    <s v="Mankind Pharma"/>
    <s v="PAN0125/25"/>
    <d v="2027-08-01T00:00:00"/>
    <n v="150"/>
    <s v="April"/>
    <x v="1"/>
  </r>
  <r>
    <d v="2025-07-04T00:00:00"/>
    <s v="Dr. Sameer Tuteja"/>
    <s v="Raman Dhaka"/>
    <n v="25"/>
    <x v="10"/>
    <s v="GSK India"/>
    <s v="CRO0425C"/>
    <d v="2024-09-01T00:00:00"/>
    <n v="50"/>
    <s v="April"/>
    <x v="0"/>
  </r>
  <r>
    <d v="2025-08-04T00:00:00"/>
    <s v="Dr. Kamaljeet Sambhyl"/>
    <s v="Pawan Khakhal"/>
    <n v="20"/>
    <x v="11"/>
    <s v="GSK India"/>
    <s v="ENO1224X"/>
    <d v="2026-07-01T00:00:00"/>
    <n v="200"/>
    <s v="April"/>
    <x v="1"/>
  </r>
  <r>
    <d v="2025-08-04T00:00:00"/>
    <s v="Dr. Ramphal Dhaka"/>
    <s v="Brijlalal Dhaka"/>
    <n v="17"/>
    <x v="12"/>
    <s v="Sanofi India"/>
    <s v="BET0125X"/>
    <d v="2027-01-01T00:00:00"/>
    <n v="2040"/>
    <s v="April"/>
    <x v="1"/>
  </r>
  <r>
    <d v="2025-08-04T00:00:00"/>
    <s v="Dr. Satbir Khumber"/>
    <s v="Raman Dhaka"/>
    <n v="23"/>
    <x v="13"/>
    <s v="Mankind Pharma"/>
    <s v="ALB0225X"/>
    <d v="2027-09-01T00:00:00"/>
    <n v="460"/>
    <s v="April"/>
    <x v="1"/>
  </r>
  <r>
    <d v="2025-08-04T00:00:00"/>
    <s v="Dr. Virender Siwach"/>
    <s v="Santosh Rani"/>
    <n v="6"/>
    <x v="14"/>
    <s v="Pfizer India"/>
    <s v="OXY0125X"/>
    <d v="2026-01-01T00:00:00"/>
    <n v="180"/>
    <s v="April"/>
    <x v="1"/>
  </r>
  <r>
    <d v="2025-08-04T00:00:00"/>
    <s v="Dr. HC Dahiya"/>
    <s v="Naseeb Khakhal"/>
    <n v="10"/>
    <x v="15"/>
    <s v="Abbott India"/>
    <s v="ENR0225A"/>
    <d v="2024-11-01T00:00:00"/>
    <n v="400"/>
    <s v="April"/>
    <x v="0"/>
  </r>
  <r>
    <d v="2025-08-04T00:00:00"/>
    <s v="Dr. Kamaljeet Sambhyl"/>
    <s v="Sita Ram"/>
    <n v="5"/>
    <x v="16"/>
    <s v="Sun Pharma"/>
    <s v="IVE0425X"/>
    <d v="2026-11-01T00:00:00"/>
    <n v="250"/>
    <s v="April"/>
    <x v="1"/>
  </r>
  <r>
    <d v="2025-08-04T00:00:00"/>
    <s v="OTC"/>
    <s v="Umesh Kumar"/>
    <n v="19"/>
    <x v="0"/>
    <s v="Cipla"/>
    <s v="PAR0225B"/>
    <d v="2027-02-01T00:00:00"/>
    <n v="38"/>
    <s v="April"/>
    <x v="1"/>
  </r>
  <r>
    <d v="2025-08-04T00:00:00"/>
    <s v="Dr. Kamaljeet Sambhyl"/>
    <s v="Brijlalal Dhaka"/>
    <n v="13"/>
    <x v="1"/>
    <s v="Sun Pharma"/>
    <s v="IBU0325B"/>
    <d v="2026-09-01T00:00:00"/>
    <n v="39"/>
    <s v="April"/>
    <x v="1"/>
  </r>
  <r>
    <d v="2025-09-04T00:00:00"/>
    <s v="OTC"/>
    <s v="Mandeep Kumar"/>
    <n v="1"/>
    <x v="2"/>
    <s v="Dr. Reddyâ€™s"/>
    <s v="AMO0425B"/>
    <d v="2026-07-01T00:00:00"/>
    <n v="8"/>
    <s v="April"/>
    <x v="1"/>
  </r>
  <r>
    <d v="2025-09-04T00:00:00"/>
    <s v="OTC"/>
    <s v="Umesh Kumar"/>
    <n v="20"/>
    <x v="3"/>
    <s v="Zydus Cadila"/>
    <s v="CET0125A"/>
    <d v="2027-02-01T00:00:00"/>
    <n v="60"/>
    <s v="April"/>
    <x v="1"/>
  </r>
  <r>
    <d v="2025-09-04T00:00:00"/>
    <s v="OTC"/>
    <s v="Kuldeep Singh"/>
    <n v="21"/>
    <x v="4"/>
    <s v="Lupin"/>
    <s v="MET1224A"/>
    <d v="2027-07-01T00:00:00"/>
    <n v="84"/>
    <s v="April"/>
    <x v="1"/>
  </r>
  <r>
    <d v="2025-09-04T00:00:00"/>
    <s v="OTC"/>
    <s v="Yogesh Khicher"/>
    <n v="23"/>
    <x v="5"/>
    <s v="Torrent Pharma"/>
    <s v="AML1224/25"/>
    <d v="2025-01-01T00:00:00"/>
    <n v="115"/>
    <s v="April"/>
    <x v="0"/>
  </r>
  <r>
    <d v="2025-09-04T00:00:00"/>
    <s v="OTC"/>
    <s v="Mandeep Kumar"/>
    <n v="29"/>
    <x v="6"/>
    <s v="Alkem Laboratories"/>
    <s v="ATE0125C"/>
    <d v="2027-07-01T00:00:00"/>
    <n v="174"/>
    <s v="April"/>
    <x v="1"/>
  </r>
  <r>
    <d v="2025-09-04T00:00:00"/>
    <s v="Dr. Geeta Choudhary"/>
    <s v="Ram Kumar"/>
    <n v="20"/>
    <x v="7"/>
    <s v="Cipla"/>
    <s v="SAL0225X"/>
    <d v="2026-04-01T00:00:00"/>
    <n v="80"/>
    <s v="April"/>
    <x v="1"/>
  </r>
  <r>
    <d v="2025-09-04T00:00:00"/>
    <s v="Dr. Anshul Sehgal"/>
    <s v="Sita Ram"/>
    <n v="10"/>
    <x v="8"/>
    <s v="Sun Pharma"/>
    <s v="DOX1224A"/>
    <d v="2026-01-01T00:00:00"/>
    <n v="100"/>
    <s v="April"/>
    <x v="1"/>
  </r>
  <r>
    <d v="2025-09-04T00:00:00"/>
    <s v="OTC"/>
    <s v="Yogesh Khicher"/>
    <n v="6"/>
    <x v="9"/>
    <s v="Mankind Pharma"/>
    <s v="PAN0125B"/>
    <d v="2027-07-01T00:00:00"/>
    <n v="30"/>
    <s v="April"/>
    <x v="1"/>
  </r>
  <r>
    <d v="2025-10-04T00:00:00"/>
    <s v="Dr. HC Dahiya"/>
    <s v="Mandeep Kumar"/>
    <n v="12"/>
    <x v="10"/>
    <s v="GSK India"/>
    <s v="CRO0425C"/>
    <d v="2024-11-01T00:00:00"/>
    <n v="24"/>
    <s v="April"/>
    <x v="0"/>
  </r>
  <r>
    <d v="2025-10-04T00:00:00"/>
    <s v="Dr. Kamaljeet Sambhyl"/>
    <s v="Naseeb Khakhal"/>
    <n v="26"/>
    <x v="11"/>
    <s v="GSK India"/>
    <s v="ENO1224X"/>
    <d v="2026-02-01T00:00:00"/>
    <n v="260"/>
    <s v="April"/>
    <x v="1"/>
  </r>
  <r>
    <d v="2025-10-04T00:00:00"/>
    <s v="OTC"/>
    <s v="Sumit Kumar"/>
    <n v="27"/>
    <x v="12"/>
    <s v="Sanofi India"/>
    <s v="BET0125C"/>
    <d v="2026-12-01T00:00:00"/>
    <n v="3240"/>
    <s v="April"/>
    <x v="1"/>
  </r>
  <r>
    <d v="2025-10-04T00:00:00"/>
    <s v="Dr. Renu Bansal"/>
    <s v="Naresh Didharia"/>
    <n v="3"/>
    <x v="13"/>
    <s v="Mankind Pharma"/>
    <s v="ALB0325X"/>
    <d v="2026-08-01T00:00:00"/>
    <n v="60"/>
    <s v="April"/>
    <x v="1"/>
  </r>
  <r>
    <d v="2025-10-04T00:00:00"/>
    <s v="Dr. Virender Siwach"/>
    <s v="Kuldeep Singh"/>
    <n v="17"/>
    <x v="14"/>
    <s v="Pfizer India"/>
    <s v="OXY0125A"/>
    <d v="2026-04-01T00:00:00"/>
    <n v="510"/>
    <s v="April"/>
    <x v="1"/>
  </r>
  <r>
    <d v="2025-10-04T00:00:00"/>
    <s v="Dr. Ramphal Dhaka"/>
    <s v="Tamanna Dhaka"/>
    <n v="14"/>
    <x v="15"/>
    <s v="Abbott India"/>
    <s v="ENR0425X"/>
    <d v="2025-01-01T00:00:00"/>
    <n v="560"/>
    <s v="April"/>
    <x v="0"/>
  </r>
  <r>
    <d v="2025-10-04T00:00:00"/>
    <s v="OTC"/>
    <s v="Balbir Fageria"/>
    <n v="13"/>
    <x v="16"/>
    <s v="Sun Pharma"/>
    <s v="IVE0225B"/>
    <d v="2027-08-01T00:00:00"/>
    <n v="650"/>
    <s v="April"/>
    <x v="1"/>
  </r>
  <r>
    <d v="2025-10-04T00:00:00"/>
    <s v="Dr. HC Dahiya"/>
    <s v="Sumit Kumar"/>
    <n v="2"/>
    <x v="0"/>
    <s v="Cipla"/>
    <s v="PAR0125A"/>
    <d v="2026-05-01T00:00:00"/>
    <n v="4"/>
    <s v="April"/>
    <x v="1"/>
  </r>
  <r>
    <d v="2025-11-04T00:00:00"/>
    <s v="Dr. Anshul Sehgal"/>
    <s v="Shishpal Sharma"/>
    <n v="17"/>
    <x v="1"/>
    <s v="Sun Pharma"/>
    <s v="IBU0225/25"/>
    <d v="2026-10-01T00:00:00"/>
    <n v="51"/>
    <s v="April"/>
    <x v="1"/>
  </r>
  <r>
    <d v="2025-11-04T00:00:00"/>
    <s v="Dr. Ramphal Dhaka"/>
    <s v="Shyam Sunder"/>
    <n v="28"/>
    <x v="2"/>
    <s v="Dr. Reddyâ€™s"/>
    <s v="AMO0125/25"/>
    <d v="2026-12-01T00:00:00"/>
    <n v="224"/>
    <s v="April"/>
    <x v="1"/>
  </r>
  <r>
    <d v="2025-11-04T00:00:00"/>
    <s v="Dr. Manohar Pahuja"/>
    <s v="Tamanna Dhaka"/>
    <n v="30"/>
    <x v="3"/>
    <s v="Zydus Cadila"/>
    <s v="CET1224C"/>
    <d v="2027-10-01T00:00:00"/>
    <n v="90"/>
    <s v="April"/>
    <x v="1"/>
  </r>
  <r>
    <d v="2025-11-04T00:00:00"/>
    <s v="Dr. Geeta Choudhary"/>
    <s v="Sumit Kumar"/>
    <n v="29"/>
    <x v="4"/>
    <s v="Lupin"/>
    <s v="MET1224C"/>
    <d v="2024-06-01T00:00:00"/>
    <n v="116"/>
    <s v="April"/>
    <x v="0"/>
  </r>
  <r>
    <d v="2025-11-04T00:00:00"/>
    <s v="Dr. Renu Bansal"/>
    <s v="Brijlalal Dhaka"/>
    <n v="19"/>
    <x v="5"/>
    <s v="Torrent Pharma"/>
    <s v="AML1224X"/>
    <d v="2026-09-01T00:00:00"/>
    <n v="95"/>
    <s v="April"/>
    <x v="1"/>
  </r>
  <r>
    <d v="2025-11-04T00:00:00"/>
    <s v="OTC"/>
    <s v="Sumit Kumar"/>
    <n v="3"/>
    <x v="6"/>
    <s v="Alkem Laboratories"/>
    <s v="ATE0425X"/>
    <d v="2027-12-01T00:00:00"/>
    <n v="18"/>
    <s v="April"/>
    <x v="1"/>
  </r>
  <r>
    <d v="2025-11-04T00:00:00"/>
    <s v="Dr. Geeta Choudhary"/>
    <s v="Sanjay Riwar"/>
    <n v="6"/>
    <x v="7"/>
    <s v="Cipla"/>
    <s v="SAL0325X"/>
    <d v="2026-10-01T00:00:00"/>
    <n v="24"/>
    <s v="April"/>
    <x v="1"/>
  </r>
  <r>
    <d v="2025-11-04T00:00:00"/>
    <s v="Dr. Vinay Singla"/>
    <s v="Kuldeep Singh"/>
    <n v="21"/>
    <x v="8"/>
    <s v="Sun Pharma"/>
    <s v="DOX0125C"/>
    <d v="2027-10-01T00:00:00"/>
    <n v="210"/>
    <s v="April"/>
    <x v="1"/>
  </r>
  <r>
    <d v="2025-12-04T00:00:00"/>
    <s v="OTC"/>
    <s v="Ramkla Devi"/>
    <n v="21"/>
    <x v="9"/>
    <s v="Mankind Pharma"/>
    <s v="PAN0125/25"/>
    <d v="2026-02-01T00:00:00"/>
    <n v="105"/>
    <s v="April"/>
    <x v="1"/>
  </r>
  <r>
    <d v="2025-12-04T00:00:00"/>
    <s v="Dr. Sameer Tuteja"/>
    <s v="Chander Bhan"/>
    <n v="16"/>
    <x v="10"/>
    <s v="GSK India"/>
    <s v="CRO0425X"/>
    <d v="2024-10-01T00:00:00"/>
    <n v="32"/>
    <s v="April"/>
    <x v="0"/>
  </r>
  <r>
    <d v="2025-12-04T00:00:00"/>
    <s v="Dr. Ramphal Dhaka"/>
    <s v="Umesh Kumar"/>
    <n v="11"/>
    <x v="11"/>
    <s v="GSK India"/>
    <s v="ENO0425C"/>
    <d v="2027-09-01T00:00:00"/>
    <n v="110"/>
    <s v="April"/>
    <x v="1"/>
  </r>
  <r>
    <d v="2025-12-04T00:00:00"/>
    <s v="Dr. Ramphal Dhaka"/>
    <s v="Raman Dhaka"/>
    <n v="19"/>
    <x v="12"/>
    <s v="Sanofi India"/>
    <s v="BET0325X"/>
    <d v="2027-10-01T00:00:00"/>
    <n v="2280"/>
    <s v="April"/>
    <x v="1"/>
  </r>
  <r>
    <d v="2025-12-04T00:00:00"/>
    <s v="Dr. Amit Narang"/>
    <s v="Yogesh Khicher"/>
    <n v="12"/>
    <x v="13"/>
    <s v="Mankind Pharma"/>
    <s v="ALB0125X"/>
    <d v="2026-10-01T00:00:00"/>
    <n v="240"/>
    <s v="April"/>
    <x v="1"/>
  </r>
  <r>
    <d v="2025-12-04T00:00:00"/>
    <s v="OTC"/>
    <s v="Sita Ram"/>
    <n v="3"/>
    <x v="14"/>
    <s v="Pfizer India"/>
    <s v="OXY0225X"/>
    <d v="2027-03-01T00:00:00"/>
    <n v="90"/>
    <s v="April"/>
    <x v="1"/>
  </r>
  <r>
    <d v="2025-12-04T00:00:00"/>
    <s v="Dr. Rajesh Batra"/>
    <s v="Amit Dhaka"/>
    <n v="4"/>
    <x v="15"/>
    <s v="Abbott India"/>
    <s v="ENR0225/25"/>
    <d v="2026-10-01T00:00:00"/>
    <n v="160"/>
    <s v="April"/>
    <x v="1"/>
  </r>
  <r>
    <d v="2025-12-04T00:00:00"/>
    <s v="Dr. Satbir Khumber"/>
    <s v="Baljinder Singh"/>
    <n v="3"/>
    <x v="16"/>
    <s v="Sun Pharma"/>
    <s v="IVE0325/25"/>
    <d v="2027-08-01T00:00:00"/>
    <n v="150"/>
    <s v="April"/>
    <x v="1"/>
  </r>
  <r>
    <s v="04-13-2025"/>
    <s v="Dr. Vinay Singla"/>
    <s v="Sumit Kumar"/>
    <n v="11"/>
    <x v="0"/>
    <s v="Cipla"/>
    <s v="PAR0225B"/>
    <d v="2026-03-01T00:00:00"/>
    <n v="22"/>
    <s v="April"/>
    <x v="1"/>
  </r>
  <r>
    <s v="04-13-2025"/>
    <s v="OTC"/>
    <s v="Umesh Kumar"/>
    <n v="26"/>
    <x v="1"/>
    <s v="Sun Pharma"/>
    <s v="IBU0325C"/>
    <d v="2026-08-01T00:00:00"/>
    <n v="78"/>
    <s v="April"/>
    <x v="1"/>
  </r>
  <r>
    <s v="04-13-2025"/>
    <s v="OTC"/>
    <s v="Raman Dhaka"/>
    <n v="23"/>
    <x v="2"/>
    <s v="Dr. Reddyâ€™s"/>
    <s v="AMO0125C"/>
    <d v="2025-04-01T00:00:00"/>
    <n v="184"/>
    <s v="April"/>
    <x v="0"/>
  </r>
  <r>
    <s v="04-13-2025"/>
    <s v="OTC"/>
    <s v="Mandeep Kumar"/>
    <n v="19"/>
    <x v="3"/>
    <s v="Zydus Cadila"/>
    <s v="CET0125B"/>
    <d v="2027-09-01T00:00:00"/>
    <n v="57"/>
    <s v="April"/>
    <x v="1"/>
  </r>
  <r>
    <s v="04-13-2025"/>
    <s v="Dr. Geeta Choudhary"/>
    <s v="Dinesh Sharma"/>
    <n v="12"/>
    <x v="4"/>
    <s v="Lupin"/>
    <s v="MET0425X"/>
    <d v="2027-05-01T00:00:00"/>
    <n v="48"/>
    <s v="April"/>
    <x v="1"/>
  </r>
  <r>
    <s v="04-13-2025"/>
    <s v="Dr. Amit Narang"/>
    <s v="Brijlalal Dhaka"/>
    <n v="8"/>
    <x v="5"/>
    <s v="Torrent Pharma"/>
    <s v="AML1224A"/>
    <d v="2026-12-01T00:00:00"/>
    <n v="40"/>
    <s v="April"/>
    <x v="1"/>
  </r>
  <r>
    <s v="04-13-2025"/>
    <s v="Dr. Sameer Tuteja"/>
    <s v="Raman Dhaka"/>
    <n v="3"/>
    <x v="6"/>
    <s v="Alkem Laboratories"/>
    <s v="ATE0325C"/>
    <d v="2024-12-01T00:00:00"/>
    <n v="18"/>
    <s v="April"/>
    <x v="0"/>
  </r>
  <r>
    <s v="04-13-2025"/>
    <s v="OTC"/>
    <s v="Sahil Chundwal"/>
    <n v="21"/>
    <x v="7"/>
    <s v="Cipla"/>
    <s v="SAL0425X"/>
    <d v="2027-07-01T00:00:00"/>
    <n v="84"/>
    <s v="April"/>
    <x v="1"/>
  </r>
  <r>
    <s v="04-14-2025"/>
    <s v="Dr. Renu Bansal"/>
    <s v="Krishan Singh"/>
    <n v="5"/>
    <x v="8"/>
    <s v="Sun Pharma"/>
    <s v="DOX0425/25"/>
    <d v="2027-11-01T00:00:00"/>
    <n v="50"/>
    <s v="April"/>
    <x v="1"/>
  </r>
  <r>
    <s v="04-14-2025"/>
    <s v="Dr. Vinay Singla"/>
    <s v="Umesh Kumar"/>
    <n v="11"/>
    <x v="9"/>
    <s v="Mankind Pharma"/>
    <s v="PAN0325A"/>
    <d v="2026-03-01T00:00:00"/>
    <n v="55"/>
    <s v="April"/>
    <x v="1"/>
  </r>
  <r>
    <s v="04-14-2025"/>
    <s v="OTC"/>
    <s v="Sahil Chundwal"/>
    <n v="11"/>
    <x v="10"/>
    <s v="GSK India"/>
    <s v="CRO1224X"/>
    <d v="2027-04-01T00:00:00"/>
    <n v="22"/>
    <s v="April"/>
    <x v="1"/>
  </r>
  <r>
    <s v="04-14-2025"/>
    <s v="Dr. Anshul Sehgal"/>
    <s v="Tamanna Dhaka"/>
    <n v="17"/>
    <x v="11"/>
    <s v="GSK India"/>
    <s v="ENO0325C"/>
    <d v="2027-07-01T00:00:00"/>
    <n v="170"/>
    <s v="April"/>
    <x v="1"/>
  </r>
  <r>
    <s v="04-14-2025"/>
    <s v="Dr. HC Dahiya"/>
    <s v="Sita Ram"/>
    <n v="14"/>
    <x v="12"/>
    <s v="Sanofi India"/>
    <s v="BET0425X"/>
    <d v="2024-05-01T00:00:00"/>
    <n v="1680"/>
    <s v="April"/>
    <x v="0"/>
  </r>
  <r>
    <s v="04-14-2025"/>
    <s v="Dr. HC Dahiya"/>
    <s v="Sita Ram"/>
    <n v="5"/>
    <x v="13"/>
    <s v="Mankind Pharma"/>
    <s v="ALB0125/25"/>
    <d v="2027-05-01T00:00:00"/>
    <n v="100"/>
    <s v="April"/>
    <x v="1"/>
  </r>
  <r>
    <s v="04-14-2025"/>
    <s v="OTC"/>
    <s v="Tamanna Dhaka"/>
    <n v="27"/>
    <x v="14"/>
    <s v="Pfizer India"/>
    <s v="OXY0325/25"/>
    <d v="2026-05-01T00:00:00"/>
    <n v="810"/>
    <s v="April"/>
    <x v="1"/>
  </r>
  <r>
    <s v="04-14-2025"/>
    <s v="Dr. Rajesh Batra"/>
    <s v="Manisha Rani"/>
    <n v="24"/>
    <x v="15"/>
    <s v="Abbott India"/>
    <s v="ENR0125B"/>
    <d v="2026-05-01T00:00:00"/>
    <n v="960"/>
    <s v="April"/>
    <x v="1"/>
  </r>
  <r>
    <s v="04-15-2025"/>
    <s v="Dr. Virender Siwach"/>
    <s v="Dinesh Sharma"/>
    <n v="10"/>
    <x v="16"/>
    <s v="Sun Pharma"/>
    <s v="IVE0325A"/>
    <d v="2026-11-01T00:00:00"/>
    <n v="500"/>
    <s v="April"/>
    <x v="1"/>
  </r>
  <r>
    <s v="04-15-2025"/>
    <s v="OTC"/>
    <s v="Mandeep Kumar"/>
    <n v="15"/>
    <x v="0"/>
    <s v="Cipla"/>
    <s v="PAR0225X"/>
    <d v="2027-09-01T00:00:00"/>
    <n v="30"/>
    <s v="April"/>
    <x v="1"/>
  </r>
  <r>
    <s v="04-15-2025"/>
    <s v="Dr. Sameer Tuteja"/>
    <s v="Raman Dhaka"/>
    <n v="10"/>
    <x v="1"/>
    <s v="Sun Pharma"/>
    <s v="IBU0425C"/>
    <d v="2024-06-01T00:00:00"/>
    <n v="30"/>
    <s v="April"/>
    <x v="0"/>
  </r>
  <r>
    <s v="04-15-2025"/>
    <s v="OTC"/>
    <s v="Hari Singh"/>
    <n v="23"/>
    <x v="2"/>
    <s v="Dr. Reddyâ€™s"/>
    <s v="AMO0225A"/>
    <d v="2026-08-01T00:00:00"/>
    <n v="184"/>
    <s v="April"/>
    <x v="1"/>
  </r>
  <r>
    <s v="04-15-2025"/>
    <s v="Dr. Virender Siwach"/>
    <s v="Naresh Didharia"/>
    <n v="27"/>
    <x v="3"/>
    <s v="Zydus Cadila"/>
    <s v="CET0325B"/>
    <d v="2026-12-01T00:00:00"/>
    <n v="81"/>
    <s v="April"/>
    <x v="1"/>
  </r>
  <r>
    <s v="04-15-2025"/>
    <s v="Dr. Anshul Sehgal"/>
    <s v="Amar Burdak"/>
    <n v="7"/>
    <x v="4"/>
    <s v="Lupin"/>
    <s v="MET0125A"/>
    <d v="2027-09-01T00:00:00"/>
    <n v="28"/>
    <s v="April"/>
    <x v="1"/>
  </r>
  <r>
    <s v="04-15-2025"/>
    <s v="Dr. Kamaljeet Sambhyl"/>
    <s v="Krishan Singh"/>
    <n v="22"/>
    <x v="5"/>
    <s v="Torrent Pharma"/>
    <s v="AML0125/25"/>
    <d v="2027-06-01T00:00:00"/>
    <n v="110"/>
    <s v="April"/>
    <x v="1"/>
  </r>
  <r>
    <s v="04-15-2025"/>
    <s v="Dr. Rajesh Batra"/>
    <s v="Amar Burdak"/>
    <n v="18"/>
    <x v="6"/>
    <s v="Alkem Laboratories"/>
    <s v="ATE0125A"/>
    <d v="2026-12-01T00:00:00"/>
    <n v="108"/>
    <s v="April"/>
    <x v="1"/>
  </r>
  <r>
    <s v="04-16-2025"/>
    <s v="OTC"/>
    <s v="Santosh Rani"/>
    <n v="14"/>
    <x v="7"/>
    <s v="Cipla"/>
    <s v="SAL0325/25"/>
    <d v="2027-05-01T00:00:00"/>
    <n v="56"/>
    <s v="April"/>
    <x v="1"/>
  </r>
  <r>
    <s v="04-16-2025"/>
    <s v="Dr. Virender Siwach"/>
    <s v="Krishan Singh"/>
    <n v="29"/>
    <x v="8"/>
    <s v="Sun Pharma"/>
    <s v="DOX0125/25"/>
    <d v="2024-08-01T00:00:00"/>
    <n v="290"/>
    <s v="April"/>
    <x v="0"/>
  </r>
  <r>
    <s v="04-16-2025"/>
    <s v="Dr. Renu Bansal"/>
    <s v="Sita Ram"/>
    <n v="18"/>
    <x v="9"/>
    <s v="Mankind Pharma"/>
    <s v="PAN0125A"/>
    <d v="2027-09-01T00:00:00"/>
    <n v="90"/>
    <s v="April"/>
    <x v="1"/>
  </r>
  <r>
    <s v="04-16-2025"/>
    <s v="Dr. Geeta Choudhary"/>
    <s v="Manisha Rani"/>
    <n v="10"/>
    <x v="10"/>
    <s v="GSK India"/>
    <s v="CRO0425/25"/>
    <d v="2027-06-01T00:00:00"/>
    <n v="20"/>
    <s v="April"/>
    <x v="1"/>
  </r>
  <r>
    <s v="04-16-2025"/>
    <s v="OTC"/>
    <s v="Yogesh Khicher"/>
    <n v="13"/>
    <x v="11"/>
    <s v="GSK India"/>
    <s v="ENO0125X"/>
    <d v="2027-06-01T00:00:00"/>
    <n v="130"/>
    <s v="April"/>
    <x v="1"/>
  </r>
  <r>
    <s v="04-16-2025"/>
    <s v="Dr. Renu Bansal"/>
    <s v="Hari Singh"/>
    <n v="15"/>
    <x v="12"/>
    <s v="Sanofi India"/>
    <s v="BET0125A"/>
    <d v="2027-11-01T00:00:00"/>
    <n v="1800"/>
    <s v="April"/>
    <x v="1"/>
  </r>
  <r>
    <s v="04-16-2025"/>
    <s v="Dr. Geeta Choudhary"/>
    <s v="Santosh Rani"/>
    <n v="5"/>
    <x v="13"/>
    <s v="Mankind Pharma"/>
    <s v="ALB0425B"/>
    <d v="2026-11-01T00:00:00"/>
    <n v="100"/>
    <s v="April"/>
    <x v="1"/>
  </r>
  <r>
    <s v="04-16-2025"/>
    <s v="Dr. Anshul Sehgal"/>
    <s v="Krishan Singh"/>
    <n v="26"/>
    <x v="14"/>
    <s v="Pfizer India"/>
    <s v="OXY0325X"/>
    <d v="2026-05-01T00:00:00"/>
    <n v="780"/>
    <s v="April"/>
    <x v="1"/>
  </r>
  <r>
    <s v="04-17-2025"/>
    <s v="Dr. Amit Narang"/>
    <s v="Dinesh Sharma"/>
    <n v="11"/>
    <x v="15"/>
    <s v="Abbott India"/>
    <s v="ENR0225/25"/>
    <d v="2023-09-01T00:00:00"/>
    <n v="440"/>
    <s v="April"/>
    <x v="0"/>
  </r>
  <r>
    <s v="04-17-2025"/>
    <s v="Dr. Manohar Pahuja"/>
    <s v="Krishan Singh"/>
    <n v="5"/>
    <x v="16"/>
    <s v="Sun Pharma"/>
    <s v="IVE0125X"/>
    <d v="2027-10-01T00:00:00"/>
    <n v="250"/>
    <s v="April"/>
    <x v="1"/>
  </r>
  <r>
    <s v="04-17-2025"/>
    <s v="OTC"/>
    <s v="Manisha Rani"/>
    <n v="23"/>
    <x v="0"/>
    <s v="Cipla"/>
    <s v="PAR0325/25"/>
    <d v="2027-12-01T00:00:00"/>
    <n v="46"/>
    <s v="April"/>
    <x v="1"/>
  </r>
  <r>
    <s v="04-17-2025"/>
    <s v="Dr. Anshul Sehgal"/>
    <s v="Randhir Fageria"/>
    <n v="20"/>
    <x v="1"/>
    <s v="Sun Pharma"/>
    <s v="IBU0325X"/>
    <d v="2026-10-01T00:00:00"/>
    <n v="60"/>
    <s v="April"/>
    <x v="1"/>
  </r>
  <r>
    <s v="04-17-2025"/>
    <s v="Dr. Geeta Choudhary"/>
    <s v="Sahil Chundwal"/>
    <n v="18"/>
    <x v="2"/>
    <s v="Dr. Reddyâ€™s"/>
    <s v="AMO0325B"/>
    <d v="2026-08-01T00:00:00"/>
    <n v="144"/>
    <s v="April"/>
    <x v="1"/>
  </r>
  <r>
    <s v="04-17-2025"/>
    <s v="OTC"/>
    <s v="Randhir Fageria"/>
    <n v="7"/>
    <x v="3"/>
    <s v="Zydus Cadila"/>
    <s v="CET0425B"/>
    <d v="2024-06-01T00:00:00"/>
    <n v="21"/>
    <s v="April"/>
    <x v="0"/>
  </r>
  <r>
    <s v="04-17-2025"/>
    <s v="Dr. Vinay Singla"/>
    <s v="Tamanna Dhaka"/>
    <n v="24"/>
    <x v="4"/>
    <s v="Lupin"/>
    <s v="MET0325A"/>
    <d v="2023-09-01T00:00:00"/>
    <n v="96"/>
    <s v="April"/>
    <x v="0"/>
  </r>
  <r>
    <s v="04-17-2025"/>
    <s v="Dr. Anshul Sehgal"/>
    <s v="Shishpal Sharma"/>
    <n v="12"/>
    <x v="5"/>
    <s v="Torrent Pharma"/>
    <s v="AML0225/25"/>
    <d v="2026-09-01T00:00:00"/>
    <n v="60"/>
    <s v="April"/>
    <x v="1"/>
  </r>
  <r>
    <s v="04-18-2025"/>
    <s v="Dr. Kamaljeet Sambhyl"/>
    <s v="Mandeep Kumar"/>
    <n v="23"/>
    <x v="6"/>
    <s v="Alkem Laboratories"/>
    <s v="ATE0225A"/>
    <d v="2027-05-01T00:00:00"/>
    <n v="138"/>
    <s v="April"/>
    <x v="1"/>
  </r>
  <r>
    <s v="04-18-2025"/>
    <s v="Dr. Renu Bansal"/>
    <s v="Randhir Fageria"/>
    <n v="25"/>
    <x v="7"/>
    <s v="Cipla"/>
    <s v="SAL0225B"/>
    <d v="2027-07-01T00:00:00"/>
    <n v="100"/>
    <s v="April"/>
    <x v="1"/>
  </r>
  <r>
    <s v="04-18-2025"/>
    <s v="Dr. HC Dahiya"/>
    <s v="Ravi Dhaka"/>
    <n v="11"/>
    <x v="8"/>
    <s v="Sun Pharma"/>
    <s v="DOX0225A"/>
    <d v="2024-11-01T00:00:00"/>
    <n v="110"/>
    <s v="April"/>
    <x v="0"/>
  </r>
  <r>
    <s v="04-18-2025"/>
    <s v="Dr. Rajesh Batra"/>
    <s v="Mohit Chaberwal"/>
    <n v="16"/>
    <x v="9"/>
    <s v="Mankind Pharma"/>
    <s v="PAN1224X"/>
    <d v="2027-11-01T00:00:00"/>
    <n v="80"/>
    <s v="April"/>
    <x v="1"/>
  </r>
  <r>
    <s v="04-18-2025"/>
    <s v="Dr. Anshul Sehgal"/>
    <s v="Baljinder Singh"/>
    <n v="25"/>
    <x v="10"/>
    <s v="GSK India"/>
    <s v="CRO0425X"/>
    <d v="2027-02-01T00:00:00"/>
    <n v="50"/>
    <s v="April"/>
    <x v="1"/>
  </r>
  <r>
    <s v="04-18-2025"/>
    <s v="Dr. Manohar Pahuja"/>
    <s v="Umesh Kumar"/>
    <n v="9"/>
    <x v="11"/>
    <s v="GSK India"/>
    <s v="ENO0325X"/>
    <d v="2026-08-01T00:00:00"/>
    <n v="90"/>
    <s v="April"/>
    <x v="1"/>
  </r>
  <r>
    <s v="04-18-2025"/>
    <s v="Dr. Geeta Choudhary"/>
    <s v="Kuldeep Singh"/>
    <n v="13"/>
    <x v="12"/>
    <s v="Sanofi India"/>
    <s v="BET0325A"/>
    <d v="2026-03-01T00:00:00"/>
    <n v="1560"/>
    <s v="April"/>
    <x v="1"/>
  </r>
  <r>
    <s v="04-18-2025"/>
    <s v="OTC"/>
    <s v="Shishpal Sharma"/>
    <n v="2"/>
    <x v="13"/>
    <s v="Mankind Pharma"/>
    <s v="ALB0325A"/>
    <d v="2027-12-01T00:00:00"/>
    <n v="40"/>
    <s v="April"/>
    <x v="1"/>
  </r>
  <r>
    <s v="04-19-2025"/>
    <s v="Dr. Virender Siwach"/>
    <s v="Santosh Rani"/>
    <n v="1"/>
    <x v="14"/>
    <s v="Pfizer India"/>
    <s v="OXY0325X"/>
    <d v="2025-05-01T00:00:00"/>
    <n v="30"/>
    <s v="April"/>
    <x v="0"/>
  </r>
  <r>
    <s v="04-19-2025"/>
    <s v="Dr. Geeta Choudhary"/>
    <s v="Kuldeep Singh"/>
    <n v="17"/>
    <x v="15"/>
    <s v="Abbott India"/>
    <s v="ENR0225C"/>
    <d v="2027-07-01T00:00:00"/>
    <n v="680"/>
    <s v="April"/>
    <x v="1"/>
  </r>
  <r>
    <s v="04-19-2025"/>
    <s v="OTC"/>
    <s v="Dinesh Sharma"/>
    <n v="9"/>
    <x v="16"/>
    <s v="Sun Pharma"/>
    <s v="IVE0225C"/>
    <d v="2027-05-01T00:00:00"/>
    <n v="450"/>
    <s v="April"/>
    <x v="1"/>
  </r>
  <r>
    <s v="04-19-2025"/>
    <s v="Dr. Ramphal Dhaka"/>
    <s v="Baljinder Singh"/>
    <n v="6"/>
    <x v="0"/>
    <s v="Cipla"/>
    <s v="PAR0425A"/>
    <d v="2027-07-01T00:00:00"/>
    <n v="12"/>
    <s v="April"/>
    <x v="1"/>
  </r>
  <r>
    <s v="04-19-2025"/>
    <s v="Dr. HC Dahiya"/>
    <s v="Amar Burdak"/>
    <n v="9"/>
    <x v="1"/>
    <s v="Sun Pharma"/>
    <s v="IBU0425B"/>
    <d v="2027-08-01T00:00:00"/>
    <n v="27"/>
    <s v="April"/>
    <x v="1"/>
  </r>
  <r>
    <s v="04-19-2025"/>
    <s v="Dr. Satbir Khumber"/>
    <s v="Sube Ram"/>
    <n v="22"/>
    <x v="2"/>
    <s v="Dr. Reddyâ€™s"/>
    <s v="AMO0325X"/>
    <d v="2026-06-01T00:00:00"/>
    <n v="176"/>
    <s v="April"/>
    <x v="1"/>
  </r>
  <r>
    <s v="04-19-2025"/>
    <s v="Dr. Sameer Tuteja"/>
    <s v="Ramkla Devi"/>
    <n v="6"/>
    <x v="3"/>
    <s v="Zydus Cadila"/>
    <s v="CET0125B"/>
    <d v="2027-01-01T00:00:00"/>
    <n v="18"/>
    <s v="April"/>
    <x v="1"/>
  </r>
  <r>
    <s v="04-19-2025"/>
    <s v="Dr. Anshul Sehgal"/>
    <s v="Mohit Chaberwal"/>
    <n v="13"/>
    <x v="4"/>
    <s v="Lupin"/>
    <s v="MET0325A"/>
    <d v="2025-02-01T00:00:00"/>
    <n v="52"/>
    <s v="April"/>
    <x v="0"/>
  </r>
  <r>
    <s v="04-20-2025"/>
    <s v="OTC"/>
    <s v="Brijlalal Dhaka"/>
    <n v="19"/>
    <x v="5"/>
    <s v="Torrent Pharma"/>
    <s v="AML0225A"/>
    <d v="2027-01-01T00:00:00"/>
    <n v="95"/>
    <s v="April"/>
    <x v="1"/>
  </r>
  <r>
    <s v="04-20-2025"/>
    <s v="OTC"/>
    <s v="Amit Dhaka"/>
    <n v="25"/>
    <x v="6"/>
    <s v="Alkem Laboratories"/>
    <s v="ATE0125X"/>
    <d v="2027-04-01T00:00:00"/>
    <n v="150"/>
    <s v="April"/>
    <x v="1"/>
  </r>
  <r>
    <s v="04-20-2025"/>
    <s v="OTC"/>
    <s v="Sahil Chundwal"/>
    <n v="21"/>
    <x v="7"/>
    <s v="Cipla"/>
    <s v="SAL0325A"/>
    <d v="2026-07-01T00:00:00"/>
    <n v="84"/>
    <s v="April"/>
    <x v="1"/>
  </r>
  <r>
    <s v="04-20-2025"/>
    <s v="Dr. Amit Narang"/>
    <s v="Baljinder Singh"/>
    <n v="11"/>
    <x v="8"/>
    <s v="Sun Pharma"/>
    <s v="DOX1224/25"/>
    <d v="2026-06-01T00:00:00"/>
    <n v="110"/>
    <s v="April"/>
    <x v="1"/>
  </r>
  <r>
    <s v="04-20-2025"/>
    <s v="Dr. Rajesh Batra"/>
    <s v="Shishpal Sharma"/>
    <n v="22"/>
    <x v="9"/>
    <s v="Mankind Pharma"/>
    <s v="PAN1224B"/>
    <d v="2026-02-01T00:00:00"/>
    <n v="110"/>
    <s v="April"/>
    <x v="1"/>
  </r>
  <r>
    <s v="04-20-2025"/>
    <s v="OTC"/>
    <s v="Dinesh Sharma"/>
    <n v="9"/>
    <x v="10"/>
    <s v="GSK India"/>
    <s v="CRO0425C"/>
    <d v="2025-09-01T00:00:00"/>
    <n v="18"/>
    <s v="April"/>
    <x v="1"/>
  </r>
  <r>
    <s v="04-20-2025"/>
    <s v="Dr. HC Dahiya"/>
    <s v="Sumitra Devi"/>
    <n v="2"/>
    <x v="11"/>
    <s v="GSK India"/>
    <s v="ENO1224X"/>
    <d v="2026-04-01T00:00:00"/>
    <n v="20"/>
    <s v="April"/>
    <x v="1"/>
  </r>
  <r>
    <s v="04-20-2025"/>
    <s v="OTC"/>
    <s v="Sumit Kumar"/>
    <n v="4"/>
    <x v="12"/>
    <s v="Sanofi India"/>
    <s v="BET1224/25"/>
    <d v="2026-05-01T00:00:00"/>
    <n v="480"/>
    <s v="April"/>
    <x v="1"/>
  </r>
  <r>
    <s v="04-21-2025"/>
    <s v="Dr. Satbir Khumber"/>
    <s v="Pawan Khakhal"/>
    <n v="25"/>
    <x v="13"/>
    <s v="Mankind Pharma"/>
    <s v="ALB0425/25"/>
    <d v="2028-03-01T00:00:00"/>
    <n v="500"/>
    <s v="April"/>
    <x v="1"/>
  </r>
  <r>
    <s v="04-21-2025"/>
    <s v="Dr. Virender Siwach"/>
    <s v="Balbir Fageria"/>
    <n v="3"/>
    <x v="14"/>
    <s v="Pfizer India"/>
    <s v="OXY0125X"/>
    <d v="2026-08-01T00:00:00"/>
    <n v="90"/>
    <s v="April"/>
    <x v="1"/>
  </r>
  <r>
    <s v="04-21-2025"/>
    <s v="Dr. Rajesh Batra"/>
    <s v="Mohit Chaberwal"/>
    <n v="24"/>
    <x v="15"/>
    <s v="Abbott India"/>
    <s v="ENR0225C"/>
    <d v="2026-11-01T00:00:00"/>
    <n v="960"/>
    <s v="April"/>
    <x v="1"/>
  </r>
  <r>
    <s v="04-21-2025"/>
    <s v="Dr. Ramphal Dhaka"/>
    <s v="Sahil Chundwal"/>
    <n v="15"/>
    <x v="16"/>
    <s v="Sun Pharma"/>
    <s v="IVE0425X"/>
    <d v="2027-09-01T00:00:00"/>
    <n v="750"/>
    <s v="April"/>
    <x v="1"/>
  </r>
  <r>
    <s v="04-21-2025"/>
    <s v="Dr. HC Dahiya"/>
    <s v="Randhir Fageria"/>
    <n v="14"/>
    <x v="0"/>
    <s v="Cipla"/>
    <s v="PAR0325/25"/>
    <d v="2026-11-01T00:00:00"/>
    <n v="28"/>
    <s v="April"/>
    <x v="1"/>
  </r>
  <r>
    <s v="04-21-2025"/>
    <s v="Dr. Amit Narang"/>
    <s v="Naseeb Khakhal"/>
    <n v="19"/>
    <x v="1"/>
    <s v="Sun Pharma"/>
    <s v="IBU0125X"/>
    <d v="2024-05-01T00:00:00"/>
    <n v="57"/>
    <s v="April"/>
    <x v="0"/>
  </r>
  <r>
    <s v="04-21-2025"/>
    <s v="Dr. Renu Bansal"/>
    <s v="Amar Burdak"/>
    <n v="23"/>
    <x v="2"/>
    <s v="Dr. Reddyâ€™s"/>
    <s v="AMO0425C"/>
    <d v="2026-09-01T00:00:00"/>
    <n v="184"/>
    <s v="April"/>
    <x v="1"/>
  </r>
  <r>
    <s v="04-21-2025"/>
    <s v="Dr. HC Dahiya"/>
    <s v="Amit Dhaka"/>
    <n v="23"/>
    <x v="3"/>
    <s v="Zydus Cadila"/>
    <s v="CET0325/25"/>
    <d v="2028-02-01T00:00:00"/>
    <n v="69"/>
    <s v="April"/>
    <x v="1"/>
  </r>
  <r>
    <s v="04-22-2025"/>
    <s v="Dr. HC Dahiya"/>
    <s v="Amit Dhaka"/>
    <n v="30"/>
    <x v="4"/>
    <s v="Lupin"/>
    <s v="MET0125A"/>
    <d v="2027-09-01T00:00:00"/>
    <n v="120"/>
    <s v="April"/>
    <x v="1"/>
  </r>
  <r>
    <s v="04-22-2025"/>
    <s v="Dr. Virender Siwach"/>
    <s v="Randhir Fageria"/>
    <n v="17"/>
    <x v="5"/>
    <s v="Torrent Pharma"/>
    <s v="AML0125/25"/>
    <d v="2027-03-01T00:00:00"/>
    <n v="85"/>
    <s v="April"/>
    <x v="1"/>
  </r>
  <r>
    <s v="04-22-2025"/>
    <s v="Dr. Anshul Sehgal"/>
    <s v="Ram Kumar"/>
    <n v="22"/>
    <x v="6"/>
    <s v="Alkem Laboratories"/>
    <s v="ATE0225C"/>
    <d v="2026-07-01T00:00:00"/>
    <n v="132"/>
    <s v="April"/>
    <x v="1"/>
  </r>
  <r>
    <s v="04-22-2025"/>
    <s v="Dr. HC Dahiya"/>
    <s v="Ram Kumar"/>
    <n v="19"/>
    <x v="7"/>
    <s v="Cipla"/>
    <s v="SAL1224B"/>
    <d v="2024-06-01T00:00:00"/>
    <n v="76"/>
    <s v="April"/>
    <x v="0"/>
  </r>
  <r>
    <s v="04-22-2025"/>
    <s v="Dr. Ramphal Dhaka"/>
    <s v="Kuldeep Singh"/>
    <n v="22"/>
    <x v="8"/>
    <s v="Sun Pharma"/>
    <s v="DOX0225A"/>
    <d v="2028-01-01T00:00:00"/>
    <n v="220"/>
    <s v="April"/>
    <x v="1"/>
  </r>
  <r>
    <s v="04-22-2025"/>
    <s v="OTC"/>
    <s v="Pawan Khakhal"/>
    <n v="5"/>
    <x v="9"/>
    <s v="Mankind Pharma"/>
    <s v="PAN1224A"/>
    <d v="2027-06-01T00:00:00"/>
    <n v="25"/>
    <s v="April"/>
    <x v="1"/>
  </r>
  <r>
    <s v="04-22-2025"/>
    <s v="OTC"/>
    <s v="Ravi Dhaka"/>
    <n v="14"/>
    <x v="10"/>
    <s v="GSK India"/>
    <s v="CRO0425X"/>
    <d v="2027-04-01T00:00:00"/>
    <n v="28"/>
    <s v="April"/>
    <x v="1"/>
  </r>
  <r>
    <s v="04-22-2025"/>
    <s v="Dr. Amit Narang"/>
    <s v="Ramkla Devi"/>
    <n v="5"/>
    <x v="11"/>
    <s v="GSK India"/>
    <s v="ENO1224/25"/>
    <d v="2026-01-01T00:00:00"/>
    <n v="50"/>
    <s v="April"/>
    <x v="1"/>
  </r>
  <r>
    <s v="04-23-2025"/>
    <s v="Dr. Anshul Sehgal"/>
    <s v="Ramkla Devi"/>
    <n v="18"/>
    <x v="12"/>
    <s v="Sanofi India"/>
    <s v="BET0125/25"/>
    <d v="2027-08-01T00:00:00"/>
    <n v="2160"/>
    <s v="April"/>
    <x v="1"/>
  </r>
  <r>
    <s v="04-23-2025"/>
    <s v="Dr. Manohar Pahuja"/>
    <s v="Yogesh Khicher"/>
    <n v="22"/>
    <x v="13"/>
    <s v="Mankind Pharma"/>
    <s v="ALB0325B"/>
    <d v="2025-01-01T00:00:00"/>
    <n v="440"/>
    <s v="April"/>
    <x v="0"/>
  </r>
  <r>
    <s v="04-23-2025"/>
    <s v="OTC"/>
    <s v="Santosh Rani"/>
    <n v="10"/>
    <x v="14"/>
    <s v="Pfizer India"/>
    <s v="OXY0425C"/>
    <d v="2027-12-01T00:00:00"/>
    <n v="300"/>
    <s v="April"/>
    <x v="1"/>
  </r>
  <r>
    <s v="04-23-2025"/>
    <s v="Dr. Renu Bansal"/>
    <s v="Pawan Khakhal"/>
    <n v="12"/>
    <x v="15"/>
    <s v="Abbott India"/>
    <s v="ENR0325/25"/>
    <d v="2026-09-01T00:00:00"/>
    <n v="480"/>
    <s v="April"/>
    <x v="1"/>
  </r>
  <r>
    <s v="04-23-2025"/>
    <s v="Dr. Sameer Tuteja"/>
    <s v="Sube Ram"/>
    <n v="20"/>
    <x v="16"/>
    <s v="Sun Pharma"/>
    <s v="IVE0125X"/>
    <d v="2026-11-01T00:00:00"/>
    <n v="1000"/>
    <s v="April"/>
    <x v="1"/>
  </r>
  <r>
    <s v="04-23-2025"/>
    <s v="Dr. Vinay Singla"/>
    <s v="Shishpal Sharma"/>
    <n v="16"/>
    <x v="0"/>
    <s v="Cipla"/>
    <s v="PAR0125/25"/>
    <d v="2027-03-01T00:00:00"/>
    <n v="32"/>
    <s v="April"/>
    <x v="1"/>
  </r>
  <r>
    <s v="04-23-2025"/>
    <s v="Dr. Renu Bansal"/>
    <s v="Sumitra Devi"/>
    <n v="25"/>
    <x v="1"/>
    <s v="Sun Pharma"/>
    <s v="IBU0325A"/>
    <d v="2027-02-01T00:00:00"/>
    <n v="75"/>
    <s v="April"/>
    <x v="1"/>
  </r>
  <r>
    <s v="04-23-2025"/>
    <s v="Dr. Rajesh Batra"/>
    <s v="Sumit Kumar"/>
    <n v="3"/>
    <x v="2"/>
    <s v="Dr. Reddyâ€™s"/>
    <s v="AMO0125C"/>
    <d v="2024-07-01T00:00:00"/>
    <n v="24"/>
    <s v="April"/>
    <x v="0"/>
  </r>
  <r>
    <s v="04-24-2025"/>
    <s v="Dr. Renu Bansal"/>
    <s v="Dinesh Sharma"/>
    <n v="8"/>
    <x v="3"/>
    <s v="Zydus Cadila"/>
    <s v="CET0125C"/>
    <d v="2026-12-01T00:00:00"/>
    <n v="24"/>
    <s v="April"/>
    <x v="1"/>
  </r>
  <r>
    <s v="04-24-2025"/>
    <s v="OTC"/>
    <s v="Manisha Rani"/>
    <n v="26"/>
    <x v="4"/>
    <s v="Lupin"/>
    <s v="MET0225X"/>
    <d v="2027-09-01T00:00:00"/>
    <n v="104"/>
    <s v="April"/>
    <x v="1"/>
  </r>
  <r>
    <s v="04-24-2025"/>
    <s v="Dr. HC Dahiya"/>
    <s v="Dinesh Sharma"/>
    <n v="28"/>
    <x v="5"/>
    <s v="Torrent Pharma"/>
    <s v="AML0225A"/>
    <d v="2026-08-01T00:00:00"/>
    <n v="140"/>
    <s v="April"/>
    <x v="1"/>
  </r>
  <r>
    <s v="04-24-2025"/>
    <s v="Dr. Vinay Singla"/>
    <s v="Hari Singh"/>
    <n v="26"/>
    <x v="6"/>
    <s v="Alkem Laboratories"/>
    <s v="ATE0425X"/>
    <d v="2027-09-01T00:00:00"/>
    <n v="156"/>
    <s v="April"/>
    <x v="1"/>
  </r>
  <r>
    <s v="04-24-2025"/>
    <s v="Dr. Sameer Tuteja"/>
    <s v="Amar Burdak"/>
    <n v="27"/>
    <x v="7"/>
    <s v="Cipla"/>
    <s v="SAL0325B"/>
    <d v="2024-12-01T00:00:00"/>
    <n v="108"/>
    <s v="April"/>
    <x v="0"/>
  </r>
  <r>
    <s v="04-24-2025"/>
    <s v="Dr. Ramphal Dhaka"/>
    <s v="Chander Bhan"/>
    <n v="13"/>
    <x v="8"/>
    <s v="Sun Pharma"/>
    <s v="DOX1224C"/>
    <d v="2026-12-01T00:00:00"/>
    <n v="130"/>
    <s v="April"/>
    <x v="1"/>
  </r>
  <r>
    <s v="04-24-2025"/>
    <s v="OTC"/>
    <s v="Manisha Rani"/>
    <n v="5"/>
    <x v="9"/>
    <s v="Mankind Pharma"/>
    <s v="PAN0425X"/>
    <d v="2028-01-01T00:00:00"/>
    <n v="25"/>
    <s v="April"/>
    <x v="1"/>
  </r>
  <r>
    <s v="04-24-2025"/>
    <s v="Dr. Virender Siwach"/>
    <s v="Shishpal Sharma"/>
    <n v="25"/>
    <x v="10"/>
    <s v="GSK India"/>
    <s v="CRO0125C"/>
    <d v="2026-09-01T00:00:00"/>
    <n v="50"/>
    <s v="April"/>
    <x v="1"/>
  </r>
  <r>
    <s v="04-25-2025"/>
    <s v="Dr. Manohar Pahuja"/>
    <s v="Raman Dhaka"/>
    <n v="18"/>
    <x v="11"/>
    <s v="GSK India"/>
    <s v="ENO0225B"/>
    <d v="2027-07-01T00:00:00"/>
    <n v="180"/>
    <s v="April"/>
    <x v="1"/>
  </r>
  <r>
    <s v="04-25-2025"/>
    <s v="Dr. Anshul Sehgal"/>
    <s v="Krishan Singh"/>
    <n v="7"/>
    <x v="12"/>
    <s v="Sanofi India"/>
    <s v="BET0225C"/>
    <d v="2026-03-01T00:00:00"/>
    <n v="840"/>
    <s v="April"/>
    <x v="1"/>
  </r>
  <r>
    <s v="04-25-2025"/>
    <s v="Dr. HC Dahiya"/>
    <s v="Ravi Dhaka"/>
    <n v="11"/>
    <x v="13"/>
    <s v="Mankind Pharma"/>
    <s v="ALB0425X"/>
    <d v="2024-08-01T00:00:00"/>
    <n v="220"/>
    <s v="April"/>
    <x v="0"/>
  </r>
  <r>
    <s v="04-25-2025"/>
    <s v="Dr. Ramphal Dhaka"/>
    <s v="Sumit Kumar"/>
    <n v="18"/>
    <x v="14"/>
    <s v="Pfizer India"/>
    <s v="OXY1224X"/>
    <d v="2026-03-01T00:00:00"/>
    <n v="540"/>
    <s v="April"/>
    <x v="1"/>
  </r>
  <r>
    <s v="04-25-2025"/>
    <s v="OTC"/>
    <s v="Ravi Dhaka"/>
    <n v="1"/>
    <x v="15"/>
    <s v="Abbott India"/>
    <s v="ENR0125/25"/>
    <d v="2026-02-01T00:00:00"/>
    <n v="40"/>
    <s v="April"/>
    <x v="1"/>
  </r>
  <r>
    <s v="04-25-2025"/>
    <s v="Dr. Renu Bansal"/>
    <s v="Balbir Fageria"/>
    <n v="19"/>
    <x v="16"/>
    <s v="Sun Pharma"/>
    <s v="IVE1224A"/>
    <d v="2024-08-01T00:00:00"/>
    <n v="950"/>
    <s v="April"/>
    <x v="0"/>
  </r>
  <r>
    <s v="04-25-2025"/>
    <s v="Dr. HC Dahiya"/>
    <s v="Sumitra Devi"/>
    <n v="28"/>
    <x v="0"/>
    <s v="Cipla"/>
    <s v="PAR1224A"/>
    <d v="2026-01-01T00:00:00"/>
    <n v="56"/>
    <s v="April"/>
    <x v="1"/>
  </r>
  <r>
    <s v="04-25-2025"/>
    <s v="Dr. Rajesh Batra"/>
    <s v="Shishpal Sharma"/>
    <n v="25"/>
    <x v="1"/>
    <s v="Sun Pharma"/>
    <s v="IBU1224A"/>
    <d v="2026-03-01T00:00:00"/>
    <n v="75"/>
    <s v="April"/>
    <x v="1"/>
  </r>
  <r>
    <s v="04-26-2025"/>
    <s v="Dr. Kamaljeet Sambhyl"/>
    <s v="Krishan Singh"/>
    <n v="16"/>
    <x v="2"/>
    <s v="Dr. Reddyâ€™s"/>
    <s v="AMO0325/25"/>
    <d v="2027-09-01T00:00:00"/>
    <n v="128"/>
    <s v="April"/>
    <x v="1"/>
  </r>
  <r>
    <s v="04-26-2025"/>
    <s v="Dr. Vinay Singla"/>
    <s v="Pawan Khakhal"/>
    <n v="17"/>
    <x v="3"/>
    <s v="Zydus Cadila"/>
    <s v="CET0425X"/>
    <d v="2027-12-01T00:00:00"/>
    <n v="51"/>
    <s v="April"/>
    <x v="1"/>
  </r>
  <r>
    <s v="04-26-2025"/>
    <s v="Dr. Ramphal Dhaka"/>
    <s v="Amar Burdak"/>
    <n v="15"/>
    <x v="4"/>
    <s v="Lupin"/>
    <s v="MET0125A"/>
    <d v="2025-03-01T00:00:00"/>
    <n v="60"/>
    <s v="April"/>
    <x v="0"/>
  </r>
  <r>
    <s v="04-26-2025"/>
    <s v="Dr. Geeta Choudhary"/>
    <s v="Shyam Sunder"/>
    <n v="23"/>
    <x v="5"/>
    <s v="Torrent Pharma"/>
    <s v="AML0125B"/>
    <d v="2027-04-01T00:00:00"/>
    <n v="115"/>
    <s v="April"/>
    <x v="1"/>
  </r>
  <r>
    <s v="04-26-2025"/>
    <s v="Dr. Virender Siwach"/>
    <s v="Amar Burdak"/>
    <n v="25"/>
    <x v="6"/>
    <s v="Alkem Laboratories"/>
    <s v="ATE1224C"/>
    <d v="2025-02-01T00:00:00"/>
    <n v="150"/>
    <s v="April"/>
    <x v="0"/>
  </r>
  <r>
    <s v="04-26-2025"/>
    <s v="Dr. Anshul Sehgal"/>
    <s v="Ravi Dhaka"/>
    <n v="10"/>
    <x v="7"/>
    <s v="Cipla"/>
    <s v="SAL0125C"/>
    <d v="2026-09-01T00:00:00"/>
    <n v="40"/>
    <s v="April"/>
    <x v="1"/>
  </r>
  <r>
    <s v="04-26-2025"/>
    <s v="OTC"/>
    <s v="Dinesh Sharma"/>
    <n v="15"/>
    <x v="8"/>
    <s v="Sun Pharma"/>
    <s v="DOX0325A"/>
    <d v="2026-05-01T00:00:00"/>
    <n v="150"/>
    <s v="April"/>
    <x v="1"/>
  </r>
  <r>
    <s v="04-26-2025"/>
    <s v="Dr. Manohar Pahuja"/>
    <s v="Ramkla Devi"/>
    <n v="9"/>
    <x v="9"/>
    <s v="Mankind Pharma"/>
    <s v="PAN1224/25"/>
    <d v="2026-11-01T00:00:00"/>
    <n v="45"/>
    <s v="April"/>
    <x v="1"/>
  </r>
  <r>
    <s v="04-27-2025"/>
    <s v="Dr. Geeta Choudhary"/>
    <s v="Umesh Kumar"/>
    <n v="11"/>
    <x v="10"/>
    <s v="GSK India"/>
    <s v="CRO0325B"/>
    <d v="2025-09-01T00:00:00"/>
    <n v="22"/>
    <s v="April"/>
    <x v="1"/>
  </r>
  <r>
    <s v="04-27-2025"/>
    <s v="Dr. Geeta Choudhary"/>
    <s v="Krishan Singh"/>
    <n v="2"/>
    <x v="11"/>
    <s v="GSK India"/>
    <s v="ENO0425B"/>
    <d v="2026-05-01T00:00:00"/>
    <n v="20"/>
    <s v="April"/>
    <x v="1"/>
  </r>
  <r>
    <s v="04-27-2025"/>
    <s v="Dr. HC Dahiya"/>
    <s v="Krishan Singh"/>
    <n v="2"/>
    <x v="12"/>
    <s v="Sanofi India"/>
    <s v="BET0225X"/>
    <d v="2026-06-01T00:00:00"/>
    <n v="240"/>
    <s v="April"/>
    <x v="1"/>
  </r>
  <r>
    <s v="04-27-2025"/>
    <s v="Dr. Geeta Choudhary"/>
    <s v="Mohit Chaberwal"/>
    <n v="5"/>
    <x v="13"/>
    <s v="Mankind Pharma"/>
    <s v="ALB0325/25"/>
    <d v="2024-10-01T00:00:00"/>
    <n v="100"/>
    <s v="April"/>
    <x v="0"/>
  </r>
  <r>
    <s v="04-27-2025"/>
    <s v="Dr. Vinay Singla"/>
    <s v="Naseeb Khakhal"/>
    <n v="4"/>
    <x v="14"/>
    <s v="Pfizer India"/>
    <s v="OXY0325B"/>
    <d v="2027-02-01T00:00:00"/>
    <n v="120"/>
    <s v="April"/>
    <x v="1"/>
  </r>
  <r>
    <s v="04-27-2025"/>
    <s v="OTC"/>
    <s v="Tamanna Dhaka"/>
    <n v="28"/>
    <x v="15"/>
    <s v="Abbott India"/>
    <s v="ENR0225C"/>
    <d v="2027-02-01T00:00:00"/>
    <n v="1120"/>
    <s v="April"/>
    <x v="1"/>
  </r>
  <r>
    <s v="04-27-2025"/>
    <s v="Dr. Kamaljeet Sambhyl"/>
    <s v="Balbir Fageria"/>
    <n v="30"/>
    <x v="16"/>
    <s v="Sun Pharma"/>
    <s v="IVE0125A"/>
    <d v="2026-08-01T00:00:00"/>
    <n v="1500"/>
    <s v="April"/>
    <x v="1"/>
  </r>
  <r>
    <s v="04-27-2025"/>
    <s v="OTC"/>
    <s v="Sahil Chundwal"/>
    <n v="14"/>
    <x v="0"/>
    <s v="Cipla"/>
    <s v="PAR0225/25"/>
    <d v="2026-03-01T00:00:00"/>
    <n v="28"/>
    <s v="April"/>
    <x v="1"/>
  </r>
  <r>
    <s v="04-28-2025"/>
    <s v="Dr. Ramphal Dhaka"/>
    <s v="Naseeb Khakhal"/>
    <n v="13"/>
    <x v="1"/>
    <s v="Sun Pharma"/>
    <s v="IBU0325/25"/>
    <d v="2026-11-01T00:00:00"/>
    <n v="39"/>
    <s v="April"/>
    <x v="1"/>
  </r>
  <r>
    <s v="04-28-2025"/>
    <s v="OTC"/>
    <s v="Kuldeep Singh"/>
    <n v="15"/>
    <x v="2"/>
    <s v="Dr. Reddyâ€™s"/>
    <s v="AMO0425B"/>
    <d v="2027-12-01T00:00:00"/>
    <n v="120"/>
    <s v="April"/>
    <x v="1"/>
  </r>
  <r>
    <s v="04-28-2025"/>
    <s v="Dr. Sameer Tuteja"/>
    <s v="Radhe Shaym"/>
    <n v="4"/>
    <x v="3"/>
    <s v="Zydus Cadila"/>
    <s v="CET0325A"/>
    <d v="2026-08-01T00:00:00"/>
    <n v="12"/>
    <s v="April"/>
    <x v="1"/>
  </r>
  <r>
    <s v="04-28-2025"/>
    <s v="Dr. Amit Narang"/>
    <s v="Ramkla Devi"/>
    <n v="17"/>
    <x v="4"/>
    <s v="Lupin"/>
    <s v="MET1224/25"/>
    <d v="2026-08-01T00:00:00"/>
    <n v="68"/>
    <s v="April"/>
    <x v="1"/>
  </r>
  <r>
    <s v="04-28-2025"/>
    <s v="Dr. Geeta Choudhary"/>
    <s v="Shyam Sunder"/>
    <n v="8"/>
    <x v="5"/>
    <s v="Torrent Pharma"/>
    <s v="AML0225/25"/>
    <d v="2024-08-01T00:00:00"/>
    <n v="40"/>
    <s v="April"/>
    <x v="0"/>
  </r>
  <r>
    <s v="04-28-2025"/>
    <s v="Dr. Geeta Choudhary"/>
    <s v="Krishan Singh"/>
    <n v="17"/>
    <x v="6"/>
    <s v="Alkem Laboratories"/>
    <s v="ATE0225C"/>
    <d v="2026-06-01T00:00:00"/>
    <n v="102"/>
    <s v="April"/>
    <x v="1"/>
  </r>
  <r>
    <s v="04-28-2025"/>
    <s v="Dr. Ramphal Dhaka"/>
    <s v="Umesh Kumar"/>
    <n v="28"/>
    <x v="7"/>
    <s v="Cipla"/>
    <s v="SAL0425A"/>
    <d v="2026-12-01T00:00:00"/>
    <n v="112"/>
    <s v="April"/>
    <x v="1"/>
  </r>
  <r>
    <s v="04-28-2025"/>
    <s v="Dr. Sameer Tuteja"/>
    <s v="Sumitra Devi"/>
    <n v="20"/>
    <x v="8"/>
    <s v="Sun Pharma"/>
    <s v="DOX0425X"/>
    <d v="2027-11-01T00:00:00"/>
    <n v="200"/>
    <s v="April"/>
    <x v="1"/>
  </r>
  <r>
    <s v="04-29-2025"/>
    <s v="Dr. Amit Narang"/>
    <s v="Umesh Kumar"/>
    <n v="18"/>
    <x v="9"/>
    <s v="Mankind Pharma"/>
    <s v="PAN0225B"/>
    <d v="2027-05-01T00:00:00"/>
    <n v="90"/>
    <s v="April"/>
    <x v="1"/>
  </r>
  <r>
    <s v="04-29-2025"/>
    <s v="OTC"/>
    <s v="Kuldeep Singh"/>
    <n v="14"/>
    <x v="10"/>
    <s v="GSK India"/>
    <s v="CRO0125/25"/>
    <d v="2027-07-01T00:00:00"/>
    <n v="28"/>
    <s v="April"/>
    <x v="1"/>
  </r>
  <r>
    <s v="04-29-2025"/>
    <s v="Dr. Rajesh Batra"/>
    <s v="Santosh Rani"/>
    <n v="28"/>
    <x v="11"/>
    <s v="GSK India"/>
    <s v="ENO0125A"/>
    <d v="2025-01-01T00:00:00"/>
    <n v="280"/>
    <s v="April"/>
    <x v="0"/>
  </r>
  <r>
    <s v="04-29-2025"/>
    <s v="OTC"/>
    <s v="Baljinder Singh"/>
    <n v="2"/>
    <x v="12"/>
    <s v="Sanofi India"/>
    <s v="BET0225C"/>
    <d v="2027-07-01T00:00:00"/>
    <n v="240"/>
    <s v="April"/>
    <x v="1"/>
  </r>
  <r>
    <s v="04-29-2025"/>
    <s v="OTC"/>
    <s v="Chander Bhan"/>
    <n v="11"/>
    <x v="13"/>
    <s v="Mankind Pharma"/>
    <s v="ALB0225A"/>
    <d v="2026-05-01T00:00:00"/>
    <n v="220"/>
    <s v="April"/>
    <x v="1"/>
  </r>
  <r>
    <s v="04-29-2025"/>
    <s v="OTC"/>
    <s v="Ram Kumar"/>
    <n v="11"/>
    <x v="14"/>
    <s v="Pfizer India"/>
    <s v="OXY0425/25"/>
    <d v="2026-06-01T00:00:00"/>
    <n v="330"/>
    <s v="April"/>
    <x v="1"/>
  </r>
  <r>
    <s v="04-29-2025"/>
    <s v="Dr. Amit Narang"/>
    <s v="Sanjay Riwar"/>
    <n v="16"/>
    <x v="15"/>
    <s v="Abbott India"/>
    <s v="ENR0125/25"/>
    <d v="2026-12-01T00:00:00"/>
    <n v="640"/>
    <s v="April"/>
    <x v="1"/>
  </r>
  <r>
    <s v="04-29-2025"/>
    <s v="Dr. Amit Narang"/>
    <s v="Ramkla Devi"/>
    <n v="17"/>
    <x v="16"/>
    <s v="Sun Pharma"/>
    <s v="IVE0225C"/>
    <d v="2027-09-01T00:00:00"/>
    <n v="850"/>
    <s v="April"/>
    <x v="1"/>
  </r>
  <r>
    <s v="04-30-2025"/>
    <s v="Dr. HC Dahiya"/>
    <s v="Hari Singh"/>
    <n v="22"/>
    <x v="0"/>
    <s v="Cipla"/>
    <s v="PAR0225X"/>
    <d v="2025-05-01T00:00:00"/>
    <n v="44"/>
    <s v="April"/>
    <x v="0"/>
  </r>
  <r>
    <s v="04-30-2025"/>
    <s v="OTC"/>
    <s v="Brijlalal Dhaka"/>
    <n v="16"/>
    <x v="1"/>
    <s v="Sun Pharma"/>
    <s v="IBU0425X"/>
    <d v="2025-02-01T00:00:00"/>
    <n v="48"/>
    <s v="April"/>
    <x v="0"/>
  </r>
  <r>
    <s v="04-30-2025"/>
    <s v="Dr. Renu Bansal"/>
    <s v="Umesh Kumar"/>
    <n v="9"/>
    <x v="2"/>
    <s v="Dr. Reddyâ€™s"/>
    <s v="AMO0325A"/>
    <d v="2027-01-01T00:00:00"/>
    <n v="72"/>
    <s v="April"/>
    <x v="1"/>
  </r>
  <r>
    <s v="04-30-2025"/>
    <s v="OTC"/>
    <s v="Krishan Singh"/>
    <n v="10"/>
    <x v="3"/>
    <s v="Zydus Cadila"/>
    <s v="CET0225A"/>
    <d v="2027-12-01T00:00:00"/>
    <n v="30"/>
    <s v="April"/>
    <x v="1"/>
  </r>
  <r>
    <s v="04-30-2025"/>
    <s v="Dr. HC Dahiya"/>
    <s v="Sahil Chundwal"/>
    <n v="1"/>
    <x v="4"/>
    <s v="Lupin"/>
    <s v="MET0125X"/>
    <d v="2026-11-01T00:00:00"/>
    <n v="4"/>
    <s v="April"/>
    <x v="1"/>
  </r>
  <r>
    <s v="04-30-2025"/>
    <s v="OTC"/>
    <s v="Sanjay Riwar"/>
    <n v="14"/>
    <x v="5"/>
    <s v="Torrent Pharma"/>
    <s v="AML0225A"/>
    <d v="2027-02-01T00:00:00"/>
    <n v="70"/>
    <s v="April"/>
    <x v="1"/>
  </r>
  <r>
    <s v="04-30-2025"/>
    <s v="Dr. Virender Siwach"/>
    <s v="Sumitra Devi"/>
    <n v="2"/>
    <x v="6"/>
    <s v="Alkem Laboratories"/>
    <s v="ATE0225C"/>
    <d v="2026-02-01T00:00:00"/>
    <n v="12"/>
    <s v="April"/>
    <x v="1"/>
  </r>
  <r>
    <s v="04-30-2025"/>
    <s v="OTC"/>
    <s v="Amit Dhaka"/>
    <n v="12"/>
    <x v="7"/>
    <s v="Cipla"/>
    <s v="SAL0125A"/>
    <d v="2025-04-01T00:00:00"/>
    <n v="48"/>
    <s v="April"/>
    <x v="0"/>
  </r>
  <r>
    <d v="2025-01-05T00:00:00"/>
    <s v="OTC"/>
    <s v="Ankit Bhadu"/>
    <n v="26"/>
    <x v="8"/>
    <s v="Sun Pharma"/>
    <s v="DOX0325X"/>
    <d v="2026-11-01T00:00:00"/>
    <n v="260"/>
    <s v="May"/>
    <x v="1"/>
  </r>
  <r>
    <d v="2025-01-05T00:00:00"/>
    <s v="Dr. Sameer Tuteja"/>
    <s v="Sita Ram"/>
    <n v="13"/>
    <x v="9"/>
    <s v="Mankind Pharma"/>
    <s v="PAN1224X"/>
    <d v="2027-11-01T00:00:00"/>
    <n v="65"/>
    <s v="May"/>
    <x v="1"/>
  </r>
  <r>
    <d v="2025-01-05T00:00:00"/>
    <s v="Dr. Geeta Choudhary"/>
    <s v="Raman Dhaka"/>
    <n v="26"/>
    <x v="10"/>
    <s v="GSK India"/>
    <s v="CRO0125/25"/>
    <d v="2027-01-01T00:00:00"/>
    <n v="52"/>
    <s v="May"/>
    <x v="1"/>
  </r>
  <r>
    <d v="2025-01-05T00:00:00"/>
    <s v="Dr. HC Dahiya"/>
    <s v="Balbir Fageria"/>
    <n v="7"/>
    <x v="11"/>
    <s v="GSK India"/>
    <s v="ENO0225B"/>
    <d v="2024-09-01T00:00:00"/>
    <n v="70"/>
    <s v="May"/>
    <x v="0"/>
  </r>
  <r>
    <d v="2025-01-05T00:00:00"/>
    <s v="Dr. Sameer Tuteja"/>
    <s v="Sanjay Riwar"/>
    <n v="30"/>
    <x v="12"/>
    <s v="Sanofi India"/>
    <s v="BET0125X"/>
    <d v="2026-07-01T00:00:00"/>
    <n v="3600"/>
    <s v="May"/>
    <x v="1"/>
  </r>
  <r>
    <d v="2025-01-05T00:00:00"/>
    <s v="OTC"/>
    <s v="Ram Kumar"/>
    <n v="30"/>
    <x v="13"/>
    <s v="Mankind Pharma"/>
    <s v="ALB0125/25"/>
    <d v="2027-07-01T00:00:00"/>
    <n v="600"/>
    <s v="May"/>
    <x v="1"/>
  </r>
  <r>
    <d v="2025-01-05T00:00:00"/>
    <s v="Dr. Kamaljeet Sambhyl"/>
    <s v="Kuldeep Singh"/>
    <n v="16"/>
    <x v="14"/>
    <s v="Pfizer India"/>
    <s v="OXY0325C"/>
    <d v="2026-04-01T00:00:00"/>
    <n v="480"/>
    <s v="May"/>
    <x v="1"/>
  </r>
  <r>
    <d v="2025-01-05T00:00:00"/>
    <s v="OTC"/>
    <s v="Kuldeep Singh"/>
    <n v="6"/>
    <x v="15"/>
    <s v="Abbott India"/>
    <s v="ENR1224C"/>
    <d v="2027-05-01T00:00:00"/>
    <n v="240"/>
    <s v="May"/>
    <x v="1"/>
  </r>
  <r>
    <d v="2025-02-05T00:00:00"/>
    <s v="Dr. Amit Narang"/>
    <s v="Naseeb Khakhal"/>
    <n v="1"/>
    <x v="16"/>
    <s v="Sun Pharma"/>
    <s v="IVE0125X"/>
    <d v="2026-04-01T00:00:00"/>
    <n v="50"/>
    <s v="May"/>
    <x v="1"/>
  </r>
  <r>
    <d v="2025-02-05T00:00:00"/>
    <s v="OTC"/>
    <s v="Ankit Bhadu"/>
    <n v="8"/>
    <x v="0"/>
    <s v="Cipla"/>
    <s v="PAR0325C"/>
    <d v="2024-08-01T00:00:00"/>
    <n v="16"/>
    <s v="May"/>
    <x v="0"/>
  </r>
  <r>
    <d v="2025-02-05T00:00:00"/>
    <s v="Dr. Sameer Tuteja"/>
    <s v="Sube Ram"/>
    <n v="1"/>
    <x v="1"/>
    <s v="Sun Pharma"/>
    <s v="IBU0325C"/>
    <d v="2027-04-01T00:00:00"/>
    <n v="3"/>
    <s v="May"/>
    <x v="1"/>
  </r>
  <r>
    <d v="2025-02-05T00:00:00"/>
    <s v="OTC"/>
    <s v="Amit Dhaka"/>
    <n v="30"/>
    <x v="2"/>
    <s v="Dr. Reddyâ€™s"/>
    <s v="AMO1224B"/>
    <d v="2027-01-01T00:00:00"/>
    <n v="240"/>
    <s v="May"/>
    <x v="1"/>
  </r>
  <r>
    <d v="2025-02-05T00:00:00"/>
    <s v="OTC"/>
    <s v="Krishan Singh"/>
    <n v="2"/>
    <x v="3"/>
    <s v="Zydus Cadila"/>
    <s v="CET0425C"/>
    <d v="2027-09-01T00:00:00"/>
    <n v="6"/>
    <s v="May"/>
    <x v="1"/>
  </r>
  <r>
    <d v="2025-02-05T00:00:00"/>
    <s v="Dr. Kamaljeet Sambhyl"/>
    <s v="Sube Ram"/>
    <n v="9"/>
    <x v="4"/>
    <s v="Lupin"/>
    <s v="MET0425C"/>
    <d v="2026-10-01T00:00:00"/>
    <n v="36"/>
    <s v="May"/>
    <x v="1"/>
  </r>
  <r>
    <d v="2025-02-05T00:00:00"/>
    <s v="Dr. Amit Narang"/>
    <s v="Shishpal Sharma"/>
    <n v="2"/>
    <x v="5"/>
    <s v="Torrent Pharma"/>
    <s v="AML0225A"/>
    <d v="2024-08-01T00:00:00"/>
    <n v="10"/>
    <s v="May"/>
    <x v="0"/>
  </r>
  <r>
    <d v="2025-02-05T00:00:00"/>
    <s v="Dr. Vinay Singla"/>
    <s v="Sanjay Riwar"/>
    <n v="29"/>
    <x v="6"/>
    <s v="Alkem Laboratories"/>
    <s v="ATE1224A"/>
    <d v="2027-11-01T00:00:00"/>
    <n v="174"/>
    <s v="May"/>
    <x v="1"/>
  </r>
  <r>
    <d v="2025-03-05T00:00:00"/>
    <s v="Dr. Anshul Sehgal"/>
    <s v="Brijlalal Dhaka"/>
    <n v="20"/>
    <x v="7"/>
    <s v="Cipla"/>
    <s v="SAL0125C"/>
    <d v="2024-05-01T00:00:00"/>
    <n v="80"/>
    <s v="May"/>
    <x v="0"/>
  </r>
  <r>
    <d v="2025-03-05T00:00:00"/>
    <s v="OTC"/>
    <s v="Chander Bhan"/>
    <n v="5"/>
    <x v="8"/>
    <s v="Sun Pharma"/>
    <s v="DOX0125/25"/>
    <d v="2027-09-01T00:00:00"/>
    <n v="50"/>
    <s v="May"/>
    <x v="1"/>
  </r>
  <r>
    <d v="2025-03-05T00:00:00"/>
    <s v="OTC"/>
    <s v="Chander Bhan"/>
    <n v="24"/>
    <x v="9"/>
    <s v="Mankind Pharma"/>
    <s v="PAN1224X"/>
    <d v="2026-08-01T00:00:00"/>
    <n v="120"/>
    <s v="May"/>
    <x v="1"/>
  </r>
  <r>
    <d v="2025-03-05T00:00:00"/>
    <s v="Dr. Renu Bansal"/>
    <s v="Tamanna Dhaka"/>
    <n v="14"/>
    <x v="10"/>
    <s v="GSK India"/>
    <s v="CRO0225A"/>
    <d v="2027-06-01T00:00:00"/>
    <n v="28"/>
    <s v="May"/>
    <x v="1"/>
  </r>
  <r>
    <d v="2025-03-05T00:00:00"/>
    <s v="Dr. HC Dahiya"/>
    <s v="Sita Ram"/>
    <n v="27"/>
    <x v="11"/>
    <s v="GSK India"/>
    <s v="ENO0125A"/>
    <d v="2027-04-01T00:00:00"/>
    <n v="270"/>
    <s v="May"/>
    <x v="1"/>
  </r>
  <r>
    <d v="2025-03-05T00:00:00"/>
    <s v="OTC"/>
    <s v="Yogesh Khicher"/>
    <n v="12"/>
    <x v="12"/>
    <s v="Sanofi India"/>
    <s v="BET0225X"/>
    <d v="2024-06-01T00:00:00"/>
    <n v="1440"/>
    <s v="May"/>
    <x v="0"/>
  </r>
  <r>
    <d v="2025-03-05T00:00:00"/>
    <s v="Dr. Virender Siwach"/>
    <s v="Chander Bhan"/>
    <n v="9"/>
    <x v="13"/>
    <s v="Mankind Pharma"/>
    <s v="ALB0425A"/>
    <d v="2026-06-01T00:00:00"/>
    <n v="180"/>
    <s v="May"/>
    <x v="1"/>
  </r>
  <r>
    <d v="2025-03-05T00:00:00"/>
    <s v="Dr. Ramphal Dhaka"/>
    <s v="Sumit Kumar"/>
    <n v="6"/>
    <x v="14"/>
    <s v="Pfizer India"/>
    <s v="OXY0325/25"/>
    <d v="2026-05-01T00:00:00"/>
    <n v="180"/>
    <s v="May"/>
    <x v="1"/>
  </r>
  <r>
    <d v="2025-04-05T00:00:00"/>
    <s v="OTC"/>
    <s v="Ram Kumar"/>
    <n v="10"/>
    <x v="15"/>
    <s v="Abbott India"/>
    <s v="ENR0325/25"/>
    <d v="2028-02-01T00:00:00"/>
    <n v="400"/>
    <s v="May"/>
    <x v="1"/>
  </r>
  <r>
    <d v="2025-04-05T00:00:00"/>
    <s v="Dr. Renu Bansal"/>
    <s v="Ramkla Devi"/>
    <n v="12"/>
    <x v="16"/>
    <s v="Sun Pharma"/>
    <s v="IVE0325/25"/>
    <d v="2026-06-01T00:00:00"/>
    <n v="600"/>
    <s v="May"/>
    <x v="1"/>
  </r>
  <r>
    <d v="2025-04-05T00:00:00"/>
    <s v="Dr. Geeta Choudhary"/>
    <s v="Sube Ram"/>
    <n v="24"/>
    <x v="0"/>
    <s v="Cipla"/>
    <s v="PAR0425/25"/>
    <d v="2024-07-01T00:00:00"/>
    <n v="48"/>
    <s v="May"/>
    <x v="0"/>
  </r>
  <r>
    <d v="2025-04-05T00:00:00"/>
    <s v="Dr. Anshul Sehgal"/>
    <s v="Mandeep Kumar"/>
    <n v="13"/>
    <x v="1"/>
    <s v="Sun Pharma"/>
    <s v="IBU1224C"/>
    <d v="2027-03-01T00:00:00"/>
    <n v="39"/>
    <s v="May"/>
    <x v="1"/>
  </r>
  <r>
    <d v="2025-04-05T00:00:00"/>
    <s v="Dr. Anshul Sehgal"/>
    <s v="Dinesh Sharma"/>
    <n v="14"/>
    <x v="2"/>
    <s v="Dr. Reddyâ€™s"/>
    <s v="AMO1224C"/>
    <d v="2027-04-01T00:00:00"/>
    <n v="112"/>
    <s v="May"/>
    <x v="1"/>
  </r>
  <r>
    <d v="2025-04-05T00:00:00"/>
    <s v="Dr. Sameer Tuteja"/>
    <s v="Ankit Bhadu"/>
    <n v="10"/>
    <x v="3"/>
    <s v="Zydus Cadila"/>
    <s v="CET0225C"/>
    <d v="2026-10-01T00:00:00"/>
    <n v="30"/>
    <s v="May"/>
    <x v="1"/>
  </r>
  <r>
    <d v="2025-04-05T00:00:00"/>
    <s v="Dr. Geeta Choudhary"/>
    <s v="Hari Singh"/>
    <n v="27"/>
    <x v="4"/>
    <s v="Lupin"/>
    <s v="MET0425/25"/>
    <d v="2024-07-01T00:00:00"/>
    <n v="108"/>
    <s v="May"/>
    <x v="0"/>
  </r>
  <r>
    <d v="2025-04-05T00:00:00"/>
    <s v="OTC"/>
    <s v="Randhir Fageria"/>
    <n v="19"/>
    <x v="5"/>
    <s v="Torrent Pharma"/>
    <s v="AML0225B"/>
    <d v="2027-09-01T00:00:00"/>
    <n v="95"/>
    <s v="May"/>
    <x v="1"/>
  </r>
  <r>
    <d v="2025-05-05T00:00:00"/>
    <s v="Dr. Manohar Pahuja"/>
    <s v="Sumitra Devi"/>
    <n v="15"/>
    <x v="6"/>
    <s v="Alkem Laboratories"/>
    <s v="ATE0225X"/>
    <d v="2026-10-01T00:00:00"/>
    <n v="90"/>
    <s v="May"/>
    <x v="1"/>
  </r>
  <r>
    <d v="2025-05-05T00:00:00"/>
    <s v="Dr. HC Dahiya"/>
    <s v="Randhir Fageria"/>
    <n v="17"/>
    <x v="7"/>
    <s v="Cipla"/>
    <s v="SAL0225/25"/>
    <d v="2027-08-01T00:00:00"/>
    <n v="68"/>
    <s v="May"/>
    <x v="1"/>
  </r>
  <r>
    <d v="2025-05-05T00:00:00"/>
    <s v="OTC"/>
    <s v="Brijlalal Dhaka"/>
    <n v="2"/>
    <x v="8"/>
    <s v="Sun Pharma"/>
    <s v="DOX0425X"/>
    <d v="2027-03-01T00:00:00"/>
    <n v="20"/>
    <s v="May"/>
    <x v="1"/>
  </r>
  <r>
    <d v="2025-05-05T00:00:00"/>
    <s v="Dr. Amit Narang"/>
    <s v="Krishan Singh"/>
    <n v="5"/>
    <x v="9"/>
    <s v="Mankind Pharma"/>
    <s v="PAN1224B"/>
    <d v="2026-09-01T00:00:00"/>
    <n v="25"/>
    <s v="May"/>
    <x v="1"/>
  </r>
  <r>
    <d v="2025-05-05T00:00:00"/>
    <s v="Dr. Sameer Tuteja"/>
    <s v="Krishan Singh"/>
    <n v="29"/>
    <x v="10"/>
    <s v="GSK India"/>
    <s v="CRO0225X"/>
    <d v="2027-12-01T00:00:00"/>
    <n v="58"/>
    <s v="May"/>
    <x v="1"/>
  </r>
  <r>
    <d v="2025-05-05T00:00:00"/>
    <s v="Dr. Anshul Sehgal"/>
    <s v="Naseeb Khakhal"/>
    <n v="9"/>
    <x v="11"/>
    <s v="GSK India"/>
    <s v="ENO0425B"/>
    <d v="2025-03-01T00:00:00"/>
    <n v="90"/>
    <s v="May"/>
    <x v="0"/>
  </r>
  <r>
    <d v="2025-05-05T00:00:00"/>
    <s v="Dr. Ramphal Dhaka"/>
    <s v="Shishpal Sharma"/>
    <n v="18"/>
    <x v="12"/>
    <s v="Sanofi India"/>
    <s v="BET0325A"/>
    <d v="2025-04-01T00:00:00"/>
    <n v="2160"/>
    <s v="May"/>
    <x v="0"/>
  </r>
  <r>
    <d v="2025-05-05T00:00:00"/>
    <s v="Dr. Satbir Khumber"/>
    <s v="Krishan Singh"/>
    <n v="16"/>
    <x v="13"/>
    <s v="Mankind Pharma"/>
    <s v="ALB0325B"/>
    <d v="2027-12-01T00:00:00"/>
    <n v="320"/>
    <s v="May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795FA4-8583-4C55-BDF4-45E78911229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76" firstHeaderRow="1" firstDataRow="1" firstDataCol="1"/>
  <pivotFields count="10">
    <pivotField axis="axisRow" showAll="0">
      <items count="126"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h="1" x="0"/>
        <item h="1" x="31"/>
        <item h="1" x="59"/>
        <item h="1" x="90"/>
        <item h="1" x="120"/>
        <item h="1" x="1"/>
        <item h="1" x="32"/>
        <item h="1" x="60"/>
        <item h="1" x="91"/>
        <item h="1" x="121"/>
        <item h="1" x="2"/>
        <item h="1" x="33"/>
        <item h="1" x="61"/>
        <item h="1" x="92"/>
        <item h="1" x="122"/>
        <item h="1" x="3"/>
        <item h="1" x="34"/>
        <item h="1" x="62"/>
        <item h="1" x="93"/>
        <item h="1" x="123"/>
        <item h="1" x="4"/>
        <item h="1" x="35"/>
        <item h="1" x="63"/>
        <item h="1" x="94"/>
        <item h="1" x="124"/>
        <item h="1" x="5"/>
        <item h="1" x="36"/>
        <item h="1" x="64"/>
        <item h="1" x="95"/>
        <item h="1" x="6"/>
        <item h="1" x="37"/>
        <item h="1" x="65"/>
        <item h="1" x="96"/>
        <item h="1" x="7"/>
        <item h="1" x="38"/>
        <item h="1" x="66"/>
        <item h="1" x="97"/>
        <item h="1" x="8"/>
        <item h="1" x="39"/>
        <item h="1" x="67"/>
        <item h="1" x="98"/>
        <item h="1" x="9"/>
        <item h="1" x="40"/>
        <item h="1" x="68"/>
        <item h="1" x="99"/>
        <item h="1" x="10"/>
        <item h="1" x="41"/>
        <item h="1" x="69"/>
        <item h="1" x="100"/>
        <item h="1" x="11"/>
        <item h="1" x="42"/>
        <item h="1" x="70"/>
        <item h="1" x="101"/>
        <item t="default"/>
      </items>
    </pivotField>
    <pivotField showAll="0"/>
    <pivotField showAll="0"/>
    <pivotField showAll="0"/>
    <pivotField showAll="0"/>
    <pivotField showAll="0"/>
    <pivotField showAll="0"/>
    <pivotField numFmtId="17" showAll="0"/>
    <pivotField dataField="1" showAll="0"/>
    <pivotField showAll="0"/>
  </pivotFields>
  <rowFields count="1">
    <field x="0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Items count="1">
    <i/>
  </colItems>
  <dataFields count="1">
    <dataField name="Sum of Amount(Rs.)" fld="8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227FBD-985B-4144-B5E4-0D7A3BEFE79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A3:B9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numFmtId="17"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(Rs.)" fld="8" baseField="0" baseItem="0"/>
  </dataFields>
  <chartFormats count="1"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5178F7-3F8A-45E8-BD17-F63108BD76C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3:B14" firstHeaderRow="1" firstDataRow="1" firstDataCol="1"/>
  <pivotFields count="10">
    <pivotField showAll="0"/>
    <pivotField showAll="0"/>
    <pivotField showAll="0"/>
    <pivotField showAll="0"/>
    <pivotField axis="axisRow" showAll="0" measureFilter="1" sortType="descending">
      <items count="18">
        <item x="13"/>
        <item x="5"/>
        <item x="2"/>
        <item x="6"/>
        <item x="12"/>
        <item x="3"/>
        <item x="10"/>
        <item x="8"/>
        <item x="11"/>
        <item x="15"/>
        <item x="1"/>
        <item x="16"/>
        <item x="4"/>
        <item x="14"/>
        <item x="9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7" showAll="0"/>
    <pivotField dataField="1" showAll="0"/>
    <pivotField showAll="0"/>
  </pivotFields>
  <rowFields count="1">
    <field x="4"/>
  </rowFields>
  <rowItems count="11">
    <i>
      <x v="4"/>
    </i>
    <i>
      <x v="11"/>
    </i>
    <i>
      <x v="9"/>
    </i>
    <i>
      <x v="13"/>
    </i>
    <i>
      <x/>
    </i>
    <i>
      <x v="7"/>
    </i>
    <i>
      <x v="8"/>
    </i>
    <i>
      <x v="2"/>
    </i>
    <i>
      <x v="3"/>
    </i>
    <i>
      <x v="1"/>
    </i>
    <i t="grand">
      <x/>
    </i>
  </rowItems>
  <colItems count="1">
    <i/>
  </colItems>
  <dataFields count="1">
    <dataField name="Sum of Amount(Rs.)" fld="8" baseField="0" baseItem="0"/>
  </dataFields>
  <chartFormats count="1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576396-E2E3-4898-AF11-3A78C0AF6EC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14" firstHeaderRow="1" firstDataRow="1" firstDataCol="1"/>
  <pivotFields count="10">
    <pivotField showAll="0"/>
    <pivotField showAll="0"/>
    <pivotField showAll="0"/>
    <pivotField dataField="1" showAll="0"/>
    <pivotField axis="axisRow" showAll="0" measureFilter="1" sortType="descending">
      <items count="18">
        <item x="13"/>
        <item x="5"/>
        <item x="2"/>
        <item x="6"/>
        <item x="12"/>
        <item x="3"/>
        <item x="10"/>
        <item x="8"/>
        <item x="11"/>
        <item x="15"/>
        <item x="1"/>
        <item x="16"/>
        <item x="4"/>
        <item x="14"/>
        <item x="9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7" showAll="0"/>
    <pivotField showAll="0"/>
    <pivotField showAll="0"/>
  </pivotFields>
  <rowFields count="1">
    <field x="4"/>
  </rowFields>
  <rowItems count="11">
    <i>
      <x v="6"/>
    </i>
    <i>
      <x v="7"/>
    </i>
    <i>
      <x v="15"/>
    </i>
    <i>
      <x v="2"/>
    </i>
    <i>
      <x v="3"/>
    </i>
    <i>
      <x v="1"/>
    </i>
    <i>
      <x v="10"/>
    </i>
    <i>
      <x v="4"/>
    </i>
    <i>
      <x v="12"/>
    </i>
    <i>
      <x/>
    </i>
    <i t="grand">
      <x/>
    </i>
  </rowItems>
  <colItems count="1">
    <i/>
  </colItems>
  <dataFields count="1">
    <dataField name="Sum of Qty." fld="3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8C230E-EED5-47B0-80D8-06BE3E8E3D87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fieldListSortAscending="1">
  <location ref="A3:B22" firstHeaderRow="1" firstDataRow="1" firstDataCol="1"/>
  <pivotFields count="10">
    <pivotField showAll="0"/>
    <pivotField showAll="0"/>
    <pivotField showAll="0"/>
    <pivotField showAll="0"/>
    <pivotField axis="axisRow" showAll="0" sortType="descending">
      <items count="19">
        <item x="13"/>
        <item x="5"/>
        <item x="2"/>
        <item x="6"/>
        <item x="12"/>
        <item x="3"/>
        <item x="10"/>
        <item x="8"/>
        <item x="11"/>
        <item x="15"/>
        <item x="1"/>
        <item x="16"/>
        <item x="4"/>
        <item x="14"/>
        <item x="9"/>
        <item x="0"/>
        <item x="7"/>
        <item n="blank"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</pivotFields>
  <rowFields count="1">
    <field x="4"/>
  </rowFields>
  <rowItems count="19">
    <i>
      <x v="4"/>
    </i>
    <i>
      <x v="11"/>
    </i>
    <i>
      <x v="9"/>
    </i>
    <i>
      <x v="13"/>
    </i>
    <i>
      <x/>
    </i>
    <i>
      <x v="7"/>
    </i>
    <i>
      <x v="8"/>
    </i>
    <i>
      <x v="2"/>
    </i>
    <i>
      <x v="3"/>
    </i>
    <i>
      <x v="1"/>
    </i>
    <i>
      <x v="14"/>
    </i>
    <i>
      <x v="12"/>
    </i>
    <i>
      <x v="16"/>
    </i>
    <i>
      <x v="10"/>
    </i>
    <i>
      <x v="5"/>
    </i>
    <i>
      <x v="6"/>
    </i>
    <i>
      <x v="15"/>
    </i>
    <i>
      <x v="17"/>
    </i>
    <i t="grand">
      <x/>
    </i>
  </rowItems>
  <colItems count="1">
    <i/>
  </colItems>
  <dataFields count="1">
    <dataField name="Sum of Amount(Rs.)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027F5E-F821-4DD6-A169-391A9109ABA1}" name="PivotTable1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3:D22" firstHeaderRow="1" firstDataRow="2" firstDataCol="1"/>
  <pivotFields count="11">
    <pivotField showAll="0"/>
    <pivotField showAll="0"/>
    <pivotField showAll="0"/>
    <pivotField showAll="0"/>
    <pivotField axis="axisRow" showAll="0">
      <items count="18">
        <item x="13"/>
        <item x="5"/>
        <item x="2"/>
        <item x="6"/>
        <item x="12"/>
        <item x="3"/>
        <item x="10"/>
        <item x="8"/>
        <item x="11"/>
        <item x="15"/>
        <item x="1"/>
        <item x="16"/>
        <item x="4"/>
        <item x="14"/>
        <item x="9"/>
        <item x="0"/>
        <item x="7"/>
        <item t="default"/>
      </items>
    </pivotField>
    <pivotField showAll="0"/>
    <pivotField showAll="0"/>
    <pivotField numFmtId="164" showAll="0"/>
    <pivotField dataField="1" showAll="0"/>
    <pivotField showAll="0"/>
    <pivotField axis="axisCol" showAll="0">
      <items count="3">
        <item x="0"/>
        <item x="1"/>
        <item t="default"/>
      </items>
    </pivotField>
  </pivotFields>
  <rowFields count="1">
    <field x="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Sum of Amount(Rs.)" fld="8" baseField="0" baseItem="0"/>
  </dataFields>
  <chartFormats count="2"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C0C6AF-3CA9-4E04-AB99-35BC620F33AB}" name="Table2" displayName="Table2" ref="A1:B9" totalsRowShown="0" headerRowDxfId="5" headerRowBorderDxfId="4" tableBorderDxfId="3" totalsRowBorderDxfId="2">
  <autoFilter ref="A1:B9" xr:uid="{66C0C6AF-3CA9-4E04-AB99-35BC620F33AB}"/>
  <tableColumns count="2">
    <tableColumn id="1" xr3:uid="{141480AE-DC61-4582-B2E2-FF3680B7149E}" name="Key Stats" dataDxfId="1"/>
    <tableColumn id="2" xr3:uid="{D92E8933-1875-4888-A84B-97D7360DC986}" name="Value" dataDxfId="0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8B2E0-F157-41DB-8C75-2A325817B091}">
  <dimension ref="A3:B76"/>
  <sheetViews>
    <sheetView topLeftCell="A2" workbookViewId="0">
      <selection activeCell="C3" sqref="C3"/>
    </sheetView>
  </sheetViews>
  <sheetFormatPr defaultRowHeight="14.4" x14ac:dyDescent="0.3"/>
  <cols>
    <col min="1" max="1" width="12.5546875" bestFit="1" customWidth="1"/>
    <col min="2" max="2" width="18.33203125" bestFit="1" customWidth="1"/>
  </cols>
  <sheetData>
    <row r="3" spans="1:2" x14ac:dyDescent="0.3">
      <c r="A3" s="4" t="s">
        <v>534</v>
      </c>
      <c r="B3" t="s">
        <v>536</v>
      </c>
    </row>
    <row r="4" spans="1:2" x14ac:dyDescent="0.3">
      <c r="A4" s="5" t="s">
        <v>463</v>
      </c>
      <c r="B4">
        <v>5553</v>
      </c>
    </row>
    <row r="5" spans="1:2" x14ac:dyDescent="0.3">
      <c r="A5" s="5" t="s">
        <v>464</v>
      </c>
      <c r="B5">
        <v>770</v>
      </c>
    </row>
    <row r="6" spans="1:2" x14ac:dyDescent="0.3">
      <c r="A6" s="5" t="s">
        <v>465</v>
      </c>
      <c r="B6">
        <v>3702</v>
      </c>
    </row>
    <row r="7" spans="1:2" x14ac:dyDescent="0.3">
      <c r="A7" s="5" t="s">
        <v>466</v>
      </c>
      <c r="B7">
        <v>748</v>
      </c>
    </row>
    <row r="8" spans="1:2" x14ac:dyDescent="0.3">
      <c r="A8" s="5" t="s">
        <v>467</v>
      </c>
      <c r="B8">
        <v>6405</v>
      </c>
    </row>
    <row r="9" spans="1:2" x14ac:dyDescent="0.3">
      <c r="A9" s="5" t="s">
        <v>468</v>
      </c>
      <c r="B9">
        <v>372</v>
      </c>
    </row>
    <row r="10" spans="1:2" x14ac:dyDescent="0.3">
      <c r="A10" s="5" t="s">
        <v>469</v>
      </c>
      <c r="B10">
        <v>4534</v>
      </c>
    </row>
    <row r="11" spans="1:2" x14ac:dyDescent="0.3">
      <c r="A11" s="5" t="s">
        <v>470</v>
      </c>
      <c r="B11">
        <v>1285</v>
      </c>
    </row>
    <row r="12" spans="1:2" x14ac:dyDescent="0.3">
      <c r="A12" s="5" t="s">
        <v>471</v>
      </c>
      <c r="B12">
        <v>3474</v>
      </c>
    </row>
    <row r="13" spans="1:2" x14ac:dyDescent="0.3">
      <c r="A13" s="5" t="s">
        <v>472</v>
      </c>
      <c r="B13">
        <v>1427</v>
      </c>
    </row>
    <row r="14" spans="1:2" x14ac:dyDescent="0.3">
      <c r="A14" s="5" t="s">
        <v>473</v>
      </c>
      <c r="B14">
        <v>2243</v>
      </c>
    </row>
    <row r="15" spans="1:2" x14ac:dyDescent="0.3">
      <c r="A15" s="5" t="s">
        <v>474</v>
      </c>
      <c r="B15">
        <v>1507</v>
      </c>
    </row>
    <row r="16" spans="1:2" x14ac:dyDescent="0.3">
      <c r="A16" s="5" t="s">
        <v>475</v>
      </c>
      <c r="B16">
        <v>3753</v>
      </c>
    </row>
    <row r="17" spans="1:2" x14ac:dyDescent="0.3">
      <c r="A17" s="5" t="s">
        <v>476</v>
      </c>
      <c r="B17">
        <v>2566</v>
      </c>
    </row>
    <row r="18" spans="1:2" x14ac:dyDescent="0.3">
      <c r="A18" s="5" t="s">
        <v>477</v>
      </c>
      <c r="B18">
        <v>1080</v>
      </c>
    </row>
    <row r="19" spans="1:2" x14ac:dyDescent="0.3">
      <c r="A19" s="5" t="s">
        <v>478</v>
      </c>
      <c r="B19">
        <v>2645</v>
      </c>
    </row>
    <row r="20" spans="1:2" x14ac:dyDescent="0.3">
      <c r="A20" s="5" t="s">
        <v>479</v>
      </c>
      <c r="B20">
        <v>452</v>
      </c>
    </row>
    <row r="21" spans="1:2" x14ac:dyDescent="0.3">
      <c r="A21" s="5" t="s">
        <v>480</v>
      </c>
      <c r="B21">
        <v>2823</v>
      </c>
    </row>
    <row r="22" spans="1:2" x14ac:dyDescent="0.3">
      <c r="A22" s="5" t="s">
        <v>481</v>
      </c>
      <c r="B22">
        <v>840</v>
      </c>
    </row>
    <row r="23" spans="1:2" x14ac:dyDescent="0.3">
      <c r="A23" s="5" t="s">
        <v>482</v>
      </c>
      <c r="B23">
        <v>882</v>
      </c>
    </row>
    <row r="24" spans="1:2" x14ac:dyDescent="0.3">
      <c r="A24" s="5" t="s">
        <v>483</v>
      </c>
      <c r="B24">
        <v>4585</v>
      </c>
    </row>
    <row r="25" spans="1:2" x14ac:dyDescent="0.3">
      <c r="A25" s="5" t="s">
        <v>484</v>
      </c>
      <c r="B25">
        <v>716</v>
      </c>
    </row>
    <row r="26" spans="1:2" x14ac:dyDescent="0.3">
      <c r="A26" s="5" t="s">
        <v>485</v>
      </c>
      <c r="B26">
        <v>5096</v>
      </c>
    </row>
    <row r="27" spans="1:2" x14ac:dyDescent="0.3">
      <c r="A27" s="5" t="s">
        <v>486</v>
      </c>
      <c r="B27">
        <v>826</v>
      </c>
    </row>
    <row r="28" spans="1:2" x14ac:dyDescent="0.3">
      <c r="A28" s="5" t="s">
        <v>487</v>
      </c>
      <c r="B28">
        <v>2538</v>
      </c>
    </row>
    <row r="29" spans="1:2" x14ac:dyDescent="0.3">
      <c r="A29" s="5" t="s">
        <v>488</v>
      </c>
      <c r="B29">
        <v>767</v>
      </c>
    </row>
    <row r="30" spans="1:2" x14ac:dyDescent="0.3">
      <c r="A30" s="5" t="s">
        <v>489</v>
      </c>
      <c r="B30">
        <v>2697</v>
      </c>
    </row>
    <row r="31" spans="1:2" x14ac:dyDescent="0.3">
      <c r="A31" s="5" t="s">
        <v>490</v>
      </c>
      <c r="B31">
        <v>434</v>
      </c>
    </row>
    <row r="32" spans="1:2" x14ac:dyDescent="0.3">
      <c r="A32" s="5" t="s">
        <v>491</v>
      </c>
      <c r="B32">
        <v>2568</v>
      </c>
    </row>
    <row r="33" spans="1:2" x14ac:dyDescent="0.3">
      <c r="A33" s="5" t="s">
        <v>492</v>
      </c>
      <c r="B33">
        <v>1734</v>
      </c>
    </row>
    <row r="34" spans="1:2" x14ac:dyDescent="0.3">
      <c r="A34" s="5" t="s">
        <v>493</v>
      </c>
      <c r="B34">
        <v>3447</v>
      </c>
    </row>
    <row r="35" spans="1:2" x14ac:dyDescent="0.3">
      <c r="A35" s="5" t="s">
        <v>494</v>
      </c>
      <c r="B35">
        <v>2455</v>
      </c>
    </row>
    <row r="36" spans="1:2" x14ac:dyDescent="0.3">
      <c r="A36" s="5" t="s">
        <v>495</v>
      </c>
      <c r="B36">
        <v>1184</v>
      </c>
    </row>
    <row r="37" spans="1:2" x14ac:dyDescent="0.3">
      <c r="A37" s="5" t="s">
        <v>496</v>
      </c>
      <c r="B37">
        <v>3010</v>
      </c>
    </row>
    <row r="38" spans="1:2" x14ac:dyDescent="0.3">
      <c r="A38" s="5" t="s">
        <v>497</v>
      </c>
      <c r="B38">
        <v>3920</v>
      </c>
    </row>
    <row r="39" spans="1:2" x14ac:dyDescent="0.3">
      <c r="A39" s="5" t="s">
        <v>462</v>
      </c>
      <c r="B39">
        <v>2763</v>
      </c>
    </row>
    <row r="40" spans="1:2" x14ac:dyDescent="0.3">
      <c r="A40" s="5" t="s">
        <v>498</v>
      </c>
      <c r="B40">
        <v>1255</v>
      </c>
    </row>
    <row r="41" spans="1:2" x14ac:dyDescent="0.3">
      <c r="A41" s="5" t="s">
        <v>499</v>
      </c>
      <c r="B41">
        <v>2092</v>
      </c>
    </row>
    <row r="42" spans="1:2" x14ac:dyDescent="0.3">
      <c r="A42" s="5" t="s">
        <v>500</v>
      </c>
      <c r="B42">
        <v>2722</v>
      </c>
    </row>
    <row r="43" spans="1:2" x14ac:dyDescent="0.3">
      <c r="A43" s="5" t="s">
        <v>501</v>
      </c>
      <c r="B43">
        <v>2807</v>
      </c>
    </row>
    <row r="44" spans="1:2" x14ac:dyDescent="0.3">
      <c r="A44" s="5" t="s">
        <v>502</v>
      </c>
      <c r="B44">
        <v>2393</v>
      </c>
    </row>
    <row r="45" spans="1:2" x14ac:dyDescent="0.3">
      <c r="A45" s="5" t="s">
        <v>503</v>
      </c>
      <c r="B45">
        <v>611</v>
      </c>
    </row>
    <row r="46" spans="1:2" x14ac:dyDescent="0.3">
      <c r="A46" s="5" t="s">
        <v>504</v>
      </c>
      <c r="B46">
        <v>2744</v>
      </c>
    </row>
    <row r="47" spans="1:2" x14ac:dyDescent="0.3">
      <c r="A47" s="5" t="s">
        <v>505</v>
      </c>
      <c r="B47">
        <v>625</v>
      </c>
    </row>
    <row r="48" spans="1:2" x14ac:dyDescent="0.3">
      <c r="A48" s="5" t="s">
        <v>506</v>
      </c>
      <c r="B48">
        <v>4562</v>
      </c>
    </row>
    <row r="49" spans="1:2" x14ac:dyDescent="0.3">
      <c r="A49" s="5" t="s">
        <v>507</v>
      </c>
      <c r="B49">
        <v>556</v>
      </c>
    </row>
    <row r="50" spans="1:2" x14ac:dyDescent="0.3">
      <c r="A50" s="5" t="s">
        <v>508</v>
      </c>
      <c r="B50">
        <v>4004</v>
      </c>
    </row>
    <row r="51" spans="1:2" x14ac:dyDescent="0.3">
      <c r="A51" s="5" t="s">
        <v>509</v>
      </c>
      <c r="B51">
        <v>699</v>
      </c>
    </row>
    <row r="52" spans="1:2" x14ac:dyDescent="0.3">
      <c r="A52" s="5" t="s">
        <v>510</v>
      </c>
      <c r="B52">
        <v>2931</v>
      </c>
    </row>
    <row r="53" spans="1:2" x14ac:dyDescent="0.3">
      <c r="A53" s="5" t="s">
        <v>511</v>
      </c>
      <c r="B53">
        <v>504</v>
      </c>
    </row>
    <row r="54" spans="1:2" x14ac:dyDescent="0.3">
      <c r="A54" s="5" t="s">
        <v>512</v>
      </c>
      <c r="B54">
        <v>3342</v>
      </c>
    </row>
    <row r="55" spans="1:2" x14ac:dyDescent="0.3">
      <c r="A55" s="5" t="s">
        <v>513</v>
      </c>
      <c r="B55">
        <v>515</v>
      </c>
    </row>
    <row r="56" spans="1:2" x14ac:dyDescent="0.3">
      <c r="A56" s="5" t="s">
        <v>514</v>
      </c>
      <c r="B56">
        <v>4433</v>
      </c>
    </row>
    <row r="57" spans="1:2" x14ac:dyDescent="0.3">
      <c r="A57" s="5" t="s">
        <v>515</v>
      </c>
      <c r="B57">
        <v>843</v>
      </c>
    </row>
    <row r="58" spans="1:2" x14ac:dyDescent="0.3">
      <c r="A58" s="5" t="s">
        <v>516</v>
      </c>
      <c r="B58">
        <v>531</v>
      </c>
    </row>
    <row r="59" spans="1:2" x14ac:dyDescent="0.3">
      <c r="A59" s="5" t="s">
        <v>517</v>
      </c>
      <c r="B59">
        <v>3847</v>
      </c>
    </row>
    <row r="60" spans="1:2" x14ac:dyDescent="0.3">
      <c r="A60" s="5" t="s">
        <v>518</v>
      </c>
      <c r="B60">
        <v>1071</v>
      </c>
    </row>
    <row r="61" spans="1:2" x14ac:dyDescent="0.3">
      <c r="A61" s="5" t="s">
        <v>519</v>
      </c>
      <c r="B61">
        <v>3266</v>
      </c>
    </row>
    <row r="62" spans="1:2" x14ac:dyDescent="0.3">
      <c r="A62" s="5" t="s">
        <v>520</v>
      </c>
      <c r="B62">
        <v>1117</v>
      </c>
    </row>
    <row r="63" spans="1:2" x14ac:dyDescent="0.3">
      <c r="A63" s="5" t="s">
        <v>521</v>
      </c>
      <c r="B63">
        <v>2168</v>
      </c>
    </row>
    <row r="64" spans="1:2" x14ac:dyDescent="0.3">
      <c r="A64" s="5" t="s">
        <v>522</v>
      </c>
      <c r="B64">
        <v>1445</v>
      </c>
    </row>
    <row r="65" spans="1:2" x14ac:dyDescent="0.3">
      <c r="A65" s="5" t="s">
        <v>523</v>
      </c>
      <c r="B65">
        <v>1067</v>
      </c>
    </row>
    <row r="66" spans="1:2" x14ac:dyDescent="0.3">
      <c r="A66" s="5" t="s">
        <v>524</v>
      </c>
      <c r="B66">
        <v>2638</v>
      </c>
    </row>
    <row r="67" spans="1:2" x14ac:dyDescent="0.3">
      <c r="A67" s="5" t="s">
        <v>525</v>
      </c>
      <c r="B67">
        <v>736</v>
      </c>
    </row>
    <row r="68" spans="1:2" x14ac:dyDescent="0.3">
      <c r="A68" s="5" t="s">
        <v>526</v>
      </c>
      <c r="B68">
        <v>4511</v>
      </c>
    </row>
    <row r="69" spans="1:2" x14ac:dyDescent="0.3">
      <c r="A69" s="5" t="s">
        <v>527</v>
      </c>
      <c r="B69">
        <v>737</v>
      </c>
    </row>
    <row r="70" spans="1:2" x14ac:dyDescent="0.3">
      <c r="A70" s="5" t="s">
        <v>528</v>
      </c>
      <c r="B70">
        <v>2901</v>
      </c>
    </row>
    <row r="71" spans="1:2" x14ac:dyDescent="0.3">
      <c r="A71" s="5" t="s">
        <v>529</v>
      </c>
      <c r="B71">
        <v>739</v>
      </c>
    </row>
    <row r="72" spans="1:2" x14ac:dyDescent="0.3">
      <c r="A72" s="5" t="s">
        <v>530</v>
      </c>
      <c r="B72">
        <v>3150</v>
      </c>
    </row>
    <row r="73" spans="1:2" x14ac:dyDescent="0.3">
      <c r="A73" s="5" t="s">
        <v>531</v>
      </c>
      <c r="B73">
        <v>693</v>
      </c>
    </row>
    <row r="74" spans="1:2" x14ac:dyDescent="0.3">
      <c r="A74" s="5" t="s">
        <v>532</v>
      </c>
      <c r="B74">
        <v>2678</v>
      </c>
    </row>
    <row r="75" spans="1:2" x14ac:dyDescent="0.3">
      <c r="A75" s="5" t="s">
        <v>533</v>
      </c>
      <c r="B75">
        <v>328</v>
      </c>
    </row>
    <row r="76" spans="1:2" x14ac:dyDescent="0.3">
      <c r="A76" s="5" t="s">
        <v>535</v>
      </c>
      <c r="B76">
        <v>157062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6DB88-7D6E-4E70-BEA6-E560A667E051}">
  <dimension ref="A3:B9"/>
  <sheetViews>
    <sheetView workbookViewId="0">
      <selection activeCell="R28" sqref="R28"/>
    </sheetView>
  </sheetViews>
  <sheetFormatPr defaultRowHeight="14.4" x14ac:dyDescent="0.3"/>
  <cols>
    <col min="1" max="1" width="12.5546875" bestFit="1" customWidth="1"/>
    <col min="2" max="2" width="18.33203125" bestFit="1" customWidth="1"/>
  </cols>
  <sheetData>
    <row r="3" spans="1:2" x14ac:dyDescent="0.3">
      <c r="A3" s="4" t="s">
        <v>534</v>
      </c>
      <c r="B3" t="s">
        <v>536</v>
      </c>
    </row>
    <row r="4" spans="1:2" x14ac:dyDescent="0.3">
      <c r="A4" s="5" t="s">
        <v>538</v>
      </c>
      <c r="B4">
        <v>73450</v>
      </c>
    </row>
    <row r="5" spans="1:2" x14ac:dyDescent="0.3">
      <c r="A5" s="5" t="s">
        <v>539</v>
      </c>
      <c r="B5">
        <v>73283</v>
      </c>
    </row>
    <row r="6" spans="1:2" x14ac:dyDescent="0.3">
      <c r="A6" s="5" t="s">
        <v>540</v>
      </c>
      <c r="B6">
        <v>67075</v>
      </c>
    </row>
    <row r="7" spans="1:2" x14ac:dyDescent="0.3">
      <c r="A7" s="5" t="s">
        <v>541</v>
      </c>
      <c r="B7">
        <v>66438</v>
      </c>
    </row>
    <row r="8" spans="1:2" x14ac:dyDescent="0.3">
      <c r="A8" s="5" t="s">
        <v>542</v>
      </c>
      <c r="B8">
        <v>12513</v>
      </c>
    </row>
    <row r="9" spans="1:2" x14ac:dyDescent="0.3">
      <c r="A9" s="5" t="s">
        <v>535</v>
      </c>
      <c r="B9">
        <v>292759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187A4-B9C8-47A3-AA64-EBDF427200A2}">
  <dimension ref="A3:B14"/>
  <sheetViews>
    <sheetView workbookViewId="0">
      <selection activeCell="D18" sqref="D18"/>
    </sheetView>
  </sheetViews>
  <sheetFormatPr defaultRowHeight="14.4" x14ac:dyDescent="0.3"/>
  <cols>
    <col min="1" max="1" width="25.5546875" bestFit="1" customWidth="1"/>
    <col min="2" max="2" width="18.33203125" bestFit="1" customWidth="1"/>
  </cols>
  <sheetData>
    <row r="3" spans="1:2" x14ac:dyDescent="0.3">
      <c r="A3" s="4" t="s">
        <v>534</v>
      </c>
      <c r="B3" t="s">
        <v>536</v>
      </c>
    </row>
    <row r="4" spans="1:2" x14ac:dyDescent="0.3">
      <c r="A4" s="5" t="s">
        <v>60</v>
      </c>
      <c r="B4">
        <v>111840</v>
      </c>
    </row>
    <row r="5" spans="1:2" x14ac:dyDescent="0.3">
      <c r="A5" s="5" t="s">
        <v>75</v>
      </c>
      <c r="B5">
        <v>44650</v>
      </c>
    </row>
    <row r="6" spans="1:2" x14ac:dyDescent="0.3">
      <c r="A6" s="5" t="s">
        <v>71</v>
      </c>
      <c r="B6">
        <v>34160</v>
      </c>
    </row>
    <row r="7" spans="1:2" x14ac:dyDescent="0.3">
      <c r="A7" s="5" t="s">
        <v>67</v>
      </c>
      <c r="B7">
        <v>23910</v>
      </c>
    </row>
    <row r="8" spans="1:2" x14ac:dyDescent="0.3">
      <c r="A8" s="5" t="s">
        <v>63</v>
      </c>
      <c r="B8">
        <v>19040</v>
      </c>
    </row>
    <row r="9" spans="1:2" x14ac:dyDescent="0.3">
      <c r="A9" s="5" t="s">
        <v>45</v>
      </c>
      <c r="B9">
        <v>10200</v>
      </c>
    </row>
    <row r="10" spans="1:2" x14ac:dyDescent="0.3">
      <c r="A10" s="5" t="s">
        <v>56</v>
      </c>
      <c r="B10">
        <v>8910</v>
      </c>
    </row>
    <row r="11" spans="1:2" x14ac:dyDescent="0.3">
      <c r="A11" s="5" t="s">
        <v>20</v>
      </c>
      <c r="B11">
        <v>7920</v>
      </c>
    </row>
    <row r="12" spans="1:2" x14ac:dyDescent="0.3">
      <c r="A12" s="5" t="s">
        <v>36</v>
      </c>
      <c r="B12">
        <v>5886</v>
      </c>
    </row>
    <row r="13" spans="1:2" x14ac:dyDescent="0.3">
      <c r="A13" s="5" t="s">
        <v>33</v>
      </c>
      <c r="B13">
        <v>4845</v>
      </c>
    </row>
    <row r="14" spans="1:2" x14ac:dyDescent="0.3">
      <c r="A14" s="5" t="s">
        <v>535</v>
      </c>
      <c r="B14">
        <v>271361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97BC0-D36C-4CD2-845C-7980DDAB71BB}">
  <dimension ref="A3:B14"/>
  <sheetViews>
    <sheetView workbookViewId="0">
      <selection activeCell="S24" sqref="S24"/>
    </sheetView>
  </sheetViews>
  <sheetFormatPr defaultRowHeight="14.4" x14ac:dyDescent="0.3"/>
  <cols>
    <col min="1" max="1" width="23.6640625" bestFit="1" customWidth="1"/>
    <col min="2" max="2" width="11" bestFit="1" customWidth="1"/>
  </cols>
  <sheetData>
    <row r="3" spans="1:2" x14ac:dyDescent="0.3">
      <c r="A3" s="4" t="s">
        <v>534</v>
      </c>
      <c r="B3" t="s">
        <v>543</v>
      </c>
    </row>
    <row r="4" spans="1:2" x14ac:dyDescent="0.3">
      <c r="A4" s="5" t="s">
        <v>52</v>
      </c>
      <c r="B4">
        <v>1022</v>
      </c>
    </row>
    <row r="5" spans="1:2" x14ac:dyDescent="0.3">
      <c r="A5" s="5" t="s">
        <v>45</v>
      </c>
      <c r="B5">
        <v>1020</v>
      </c>
    </row>
    <row r="6" spans="1:2" x14ac:dyDescent="0.3">
      <c r="A6" s="5" t="s">
        <v>11</v>
      </c>
      <c r="B6">
        <v>991</v>
      </c>
    </row>
    <row r="7" spans="1:2" x14ac:dyDescent="0.3">
      <c r="A7" s="5" t="s">
        <v>20</v>
      </c>
      <c r="B7">
        <v>990</v>
      </c>
    </row>
    <row r="8" spans="1:2" x14ac:dyDescent="0.3">
      <c r="A8" s="5" t="s">
        <v>36</v>
      </c>
      <c r="B8">
        <v>981</v>
      </c>
    </row>
    <row r="9" spans="1:2" x14ac:dyDescent="0.3">
      <c r="A9" s="5" t="s">
        <v>33</v>
      </c>
      <c r="B9">
        <v>969</v>
      </c>
    </row>
    <row r="10" spans="1:2" x14ac:dyDescent="0.3">
      <c r="A10" s="5" t="s">
        <v>15</v>
      </c>
      <c r="B10">
        <v>953</v>
      </c>
    </row>
    <row r="11" spans="1:2" x14ac:dyDescent="0.3">
      <c r="A11" s="5" t="s">
        <v>60</v>
      </c>
      <c r="B11">
        <v>938</v>
      </c>
    </row>
    <row r="12" spans="1:2" x14ac:dyDescent="0.3">
      <c r="A12" s="5" t="s">
        <v>28</v>
      </c>
      <c r="B12">
        <v>925</v>
      </c>
    </row>
    <row r="13" spans="1:2" x14ac:dyDescent="0.3">
      <c r="A13" s="5" t="s">
        <v>63</v>
      </c>
      <c r="B13">
        <v>924</v>
      </c>
    </row>
    <row r="14" spans="1:2" x14ac:dyDescent="0.3">
      <c r="A14" s="5" t="s">
        <v>535</v>
      </c>
      <c r="B14">
        <v>9713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BB79B-E17F-45B4-BCB6-E5A27CFABF00}">
  <dimension ref="A1:B9"/>
  <sheetViews>
    <sheetView workbookViewId="0">
      <selection activeCell="L16" sqref="L16"/>
    </sheetView>
  </sheetViews>
  <sheetFormatPr defaultRowHeight="14.4" x14ac:dyDescent="0.3"/>
  <cols>
    <col min="1" max="1" width="30.77734375" customWidth="1"/>
    <col min="2" max="2" width="21" customWidth="1"/>
  </cols>
  <sheetData>
    <row r="1" spans="1:2" ht="26.4" customHeight="1" thickBot="1" x14ac:dyDescent="0.35">
      <c r="A1" s="11" t="s">
        <v>573</v>
      </c>
      <c r="B1" s="12" t="s">
        <v>558</v>
      </c>
    </row>
    <row r="2" spans="1:2" ht="22.8" customHeight="1" thickBot="1" x14ac:dyDescent="0.35">
      <c r="A2" s="9" t="s">
        <v>559</v>
      </c>
      <c r="B2" s="10" t="s">
        <v>560</v>
      </c>
    </row>
    <row r="3" spans="1:2" ht="24" customHeight="1" thickBot="1" x14ac:dyDescent="0.35">
      <c r="A3" s="9" t="s">
        <v>561</v>
      </c>
      <c r="B3" s="10" t="s">
        <v>562</v>
      </c>
    </row>
    <row r="4" spans="1:2" ht="18" customHeight="1" thickBot="1" x14ac:dyDescent="0.35">
      <c r="A4" s="9" t="s">
        <v>563</v>
      </c>
      <c r="B4" s="10" t="s">
        <v>564</v>
      </c>
    </row>
    <row r="5" spans="1:2" ht="19.8" customHeight="1" thickBot="1" x14ac:dyDescent="0.35">
      <c r="A5" s="9" t="s">
        <v>565</v>
      </c>
      <c r="B5" s="10" t="s">
        <v>566</v>
      </c>
    </row>
    <row r="6" spans="1:2" ht="22.2" customHeight="1" thickBot="1" x14ac:dyDescent="0.35">
      <c r="A6" s="9" t="s">
        <v>567</v>
      </c>
      <c r="B6" s="10" t="s">
        <v>60</v>
      </c>
    </row>
    <row r="7" spans="1:2" ht="22.2" customHeight="1" thickBot="1" x14ac:dyDescent="0.35">
      <c r="A7" s="9" t="s">
        <v>568</v>
      </c>
      <c r="B7" s="10" t="s">
        <v>569</v>
      </c>
    </row>
    <row r="8" spans="1:2" ht="18" customHeight="1" thickBot="1" x14ac:dyDescent="0.35">
      <c r="A8" s="9" t="s">
        <v>570</v>
      </c>
      <c r="B8" s="10" t="s">
        <v>52</v>
      </c>
    </row>
    <row r="9" spans="1:2" ht="18" customHeight="1" x14ac:dyDescent="0.3">
      <c r="A9" s="13" t="s">
        <v>571</v>
      </c>
      <c r="B9" s="14" t="s">
        <v>572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BCF79-E250-4C79-800D-FFD7C3840DC7}">
  <dimension ref="A3:I22"/>
  <sheetViews>
    <sheetView workbookViewId="0">
      <selection activeCell="P29" sqref="P29"/>
    </sheetView>
  </sheetViews>
  <sheetFormatPr defaultRowHeight="14.4" x14ac:dyDescent="0.3"/>
  <cols>
    <col min="1" max="1" width="25.5546875" bestFit="1" customWidth="1"/>
    <col min="2" max="2" width="18.33203125" bestFit="1" customWidth="1"/>
    <col min="3" max="3" width="12.109375" customWidth="1"/>
    <col min="4" max="4" width="13.109375" customWidth="1"/>
    <col min="6" max="6" width="16.33203125" customWidth="1"/>
    <col min="7" max="7" width="12.33203125" customWidth="1"/>
    <col min="8" max="8" width="10.6640625" customWidth="1"/>
    <col min="9" max="9" width="12.5546875" customWidth="1"/>
    <col min="10" max="10" width="13.5546875" customWidth="1"/>
  </cols>
  <sheetData>
    <row r="3" spans="1:9" x14ac:dyDescent="0.3">
      <c r="A3" s="4" t="s">
        <v>534</v>
      </c>
      <c r="B3" t="s">
        <v>536</v>
      </c>
      <c r="C3" t="s">
        <v>544</v>
      </c>
      <c r="D3" t="s">
        <v>545</v>
      </c>
      <c r="E3" t="s">
        <v>553</v>
      </c>
      <c r="G3" t="s">
        <v>546</v>
      </c>
      <c r="H3" t="s">
        <v>552</v>
      </c>
      <c r="I3" t="s">
        <v>551</v>
      </c>
    </row>
    <row r="4" spans="1:9" x14ac:dyDescent="0.3">
      <c r="A4" s="5" t="s">
        <v>60</v>
      </c>
      <c r="B4">
        <v>111840</v>
      </c>
      <c r="C4" s="6">
        <f>B4/$B$22</f>
        <v>0.38202070645138153</v>
      </c>
      <c r="D4" s="7">
        <f>C4</f>
        <v>0.38202070645138153</v>
      </c>
      <c r="E4" t="str">
        <f>IF(D4&lt;=$G$4,$H$4,IF(AND(D4&gt;$G$4,D4&lt;$G$5),$H$5,IF(D4&lt;=$G$6,$H$6)))</f>
        <v>A</v>
      </c>
      <c r="G4" s="8">
        <v>0.8</v>
      </c>
      <c r="H4" t="s">
        <v>547</v>
      </c>
      <c r="I4">
        <f>B4+B5+B6+B7+B8</f>
        <v>233600</v>
      </c>
    </row>
    <row r="5" spans="1:9" x14ac:dyDescent="0.3">
      <c r="A5" s="5" t="s">
        <v>75</v>
      </c>
      <c r="B5">
        <v>44650</v>
      </c>
      <c r="C5" s="6">
        <f t="shared" ref="C5:C20" si="0">B5/$B$22</f>
        <v>0.15251452559955458</v>
      </c>
      <c r="D5" s="7">
        <f>D4+C5</f>
        <v>0.53453523205093612</v>
      </c>
      <c r="E5" t="str">
        <f t="shared" ref="E5:E20" si="1">IF(D5&lt;=$G$4,$H$4,IF(AND(D5&gt;$G$4,D5&lt;$G$5),$H$5,IF(D5&lt;=$G$6,$H$6)))</f>
        <v>A</v>
      </c>
      <c r="G5" s="8">
        <v>0.95</v>
      </c>
      <c r="H5" t="s">
        <v>548</v>
      </c>
      <c r="I5">
        <f>B9+B10+B11+B12+B13+B14</f>
        <v>42221</v>
      </c>
    </row>
    <row r="6" spans="1:9" x14ac:dyDescent="0.3">
      <c r="A6" s="5" t="s">
        <v>71</v>
      </c>
      <c r="B6">
        <v>34160</v>
      </c>
      <c r="C6" s="6">
        <f t="shared" si="0"/>
        <v>0.1166830054754935</v>
      </c>
      <c r="D6" s="7">
        <f t="shared" ref="D6:D20" si="2">D5+C6</f>
        <v>0.6512182375264296</v>
      </c>
      <c r="E6" t="str">
        <f t="shared" si="1"/>
        <v>A</v>
      </c>
      <c r="G6" s="8">
        <v>1</v>
      </c>
      <c r="H6" t="s">
        <v>549</v>
      </c>
      <c r="I6">
        <f>B15+B16+B17+B18+B19+B20</f>
        <v>16938</v>
      </c>
    </row>
    <row r="7" spans="1:9" x14ac:dyDescent="0.3">
      <c r="A7" s="5" t="s">
        <v>67</v>
      </c>
      <c r="B7">
        <v>23910</v>
      </c>
      <c r="C7" s="6">
        <f t="shared" si="0"/>
        <v>8.1671272275147824E-2</v>
      </c>
      <c r="D7" s="7">
        <f t="shared" si="2"/>
        <v>0.73288950980157741</v>
      </c>
      <c r="E7" t="str">
        <f t="shared" si="1"/>
        <v>A</v>
      </c>
    </row>
    <row r="8" spans="1:9" x14ac:dyDescent="0.3">
      <c r="A8" s="5" t="s">
        <v>63</v>
      </c>
      <c r="B8">
        <v>19040</v>
      </c>
      <c r="C8" s="6">
        <f t="shared" si="0"/>
        <v>6.50364292814226E-2</v>
      </c>
      <c r="D8" s="7">
        <f t="shared" si="2"/>
        <v>0.79792593908300002</v>
      </c>
      <c r="E8" t="str">
        <f t="shared" si="1"/>
        <v>A</v>
      </c>
    </row>
    <row r="9" spans="1:9" x14ac:dyDescent="0.3">
      <c r="A9" s="5" t="s">
        <v>45</v>
      </c>
      <c r="B9">
        <v>10200</v>
      </c>
      <c r="C9" s="6">
        <f t="shared" si="0"/>
        <v>3.4840944257904967E-2</v>
      </c>
      <c r="D9" s="7">
        <f t="shared" si="2"/>
        <v>0.83276688334090498</v>
      </c>
      <c r="E9" t="str">
        <f t="shared" si="1"/>
        <v>B</v>
      </c>
    </row>
    <row r="10" spans="1:9" x14ac:dyDescent="0.3">
      <c r="A10" s="5" t="s">
        <v>56</v>
      </c>
      <c r="B10">
        <v>8910</v>
      </c>
      <c r="C10" s="6">
        <f t="shared" si="0"/>
        <v>3.0434589542934633E-2</v>
      </c>
      <c r="D10" s="7">
        <f t="shared" si="2"/>
        <v>0.86320147288383964</v>
      </c>
      <c r="E10" t="str">
        <f t="shared" si="1"/>
        <v>B</v>
      </c>
    </row>
    <row r="11" spans="1:9" x14ac:dyDescent="0.3">
      <c r="A11" s="5" t="s">
        <v>20</v>
      </c>
      <c r="B11">
        <v>7920</v>
      </c>
      <c r="C11" s="6">
        <f t="shared" si="0"/>
        <v>2.7052968482608561E-2</v>
      </c>
      <c r="D11" s="7">
        <f t="shared" si="2"/>
        <v>0.89025444136644816</v>
      </c>
      <c r="E11" t="str">
        <f t="shared" si="1"/>
        <v>B</v>
      </c>
    </row>
    <row r="12" spans="1:9" x14ac:dyDescent="0.3">
      <c r="A12" s="5" t="s">
        <v>36</v>
      </c>
      <c r="B12">
        <v>5886</v>
      </c>
      <c r="C12" s="6">
        <f t="shared" si="0"/>
        <v>2.0105274304120454E-2</v>
      </c>
      <c r="D12" s="7">
        <f t="shared" si="2"/>
        <v>0.91035971567056861</v>
      </c>
      <c r="E12" t="str">
        <f t="shared" si="1"/>
        <v>B</v>
      </c>
    </row>
    <row r="13" spans="1:9" x14ac:dyDescent="0.3">
      <c r="A13" s="5" t="s">
        <v>33</v>
      </c>
      <c r="B13">
        <v>4845</v>
      </c>
      <c r="C13" s="6">
        <f t="shared" si="0"/>
        <v>1.654944852250486E-2</v>
      </c>
      <c r="D13" s="7">
        <f t="shared" si="2"/>
        <v>0.92690916419307345</v>
      </c>
      <c r="E13" t="str">
        <f t="shared" si="1"/>
        <v>B</v>
      </c>
    </row>
    <row r="14" spans="1:9" x14ac:dyDescent="0.3">
      <c r="A14" s="5" t="s">
        <v>49</v>
      </c>
      <c r="B14">
        <v>4460</v>
      </c>
      <c r="C14" s="6">
        <f t="shared" si="0"/>
        <v>1.5234373665711388E-2</v>
      </c>
      <c r="D14" s="7">
        <f t="shared" si="2"/>
        <v>0.9421435378587848</v>
      </c>
      <c r="E14" t="str">
        <f t="shared" si="1"/>
        <v>B</v>
      </c>
    </row>
    <row r="15" spans="1:9" x14ac:dyDescent="0.3">
      <c r="A15" s="5" t="s">
        <v>28</v>
      </c>
      <c r="B15">
        <v>3700</v>
      </c>
      <c r="C15" s="6">
        <f t="shared" si="0"/>
        <v>1.2638381740612586E-2</v>
      </c>
      <c r="D15" s="7">
        <f t="shared" si="2"/>
        <v>0.9547819195993974</v>
      </c>
      <c r="E15" t="str">
        <f t="shared" si="1"/>
        <v>C</v>
      </c>
    </row>
    <row r="16" spans="1:9" x14ac:dyDescent="0.3">
      <c r="A16" s="5" t="s">
        <v>41</v>
      </c>
      <c r="B16">
        <v>3584</v>
      </c>
      <c r="C16" s="6">
        <f t="shared" si="0"/>
        <v>1.2242151394150138E-2</v>
      </c>
      <c r="D16" s="7">
        <f t="shared" si="2"/>
        <v>0.96702407099354759</v>
      </c>
      <c r="E16" t="str">
        <f t="shared" si="1"/>
        <v>C</v>
      </c>
    </row>
    <row r="17" spans="1:5" x14ac:dyDescent="0.3">
      <c r="A17" s="5" t="s">
        <v>15</v>
      </c>
      <c r="B17">
        <v>2859</v>
      </c>
      <c r="C17" s="6">
        <f t="shared" si="0"/>
        <v>9.7657117287598336E-3</v>
      </c>
      <c r="D17" s="7">
        <f t="shared" si="2"/>
        <v>0.97678978272230743</v>
      </c>
      <c r="E17" t="str">
        <f t="shared" si="1"/>
        <v>C</v>
      </c>
    </row>
    <row r="18" spans="1:5" x14ac:dyDescent="0.3">
      <c r="A18" s="5" t="s">
        <v>25</v>
      </c>
      <c r="B18">
        <v>2769</v>
      </c>
      <c r="C18" s="6">
        <f t="shared" si="0"/>
        <v>9.4582916323665538E-3</v>
      </c>
      <c r="D18" s="7">
        <f t="shared" si="2"/>
        <v>0.98624807435467399</v>
      </c>
      <c r="E18" t="str">
        <f t="shared" si="1"/>
        <v>C</v>
      </c>
    </row>
    <row r="19" spans="1:5" x14ac:dyDescent="0.3">
      <c r="A19" s="5" t="s">
        <v>52</v>
      </c>
      <c r="B19">
        <v>2044</v>
      </c>
      <c r="C19" s="6">
        <f t="shared" si="0"/>
        <v>6.9818519669762498E-3</v>
      </c>
      <c r="D19" s="7">
        <f t="shared" si="2"/>
        <v>0.99322992632165019</v>
      </c>
      <c r="E19" t="str">
        <f t="shared" si="1"/>
        <v>C</v>
      </c>
    </row>
    <row r="20" spans="1:5" x14ac:dyDescent="0.3">
      <c r="A20" s="5" t="s">
        <v>11</v>
      </c>
      <c r="B20">
        <v>1982</v>
      </c>
      <c r="C20" s="6">
        <f t="shared" si="0"/>
        <v>6.7700736783497693E-3</v>
      </c>
      <c r="D20" s="7">
        <f t="shared" si="2"/>
        <v>1</v>
      </c>
      <c r="E20" t="str">
        <f t="shared" si="1"/>
        <v>C</v>
      </c>
    </row>
    <row r="21" spans="1:5" x14ac:dyDescent="0.3">
      <c r="A21" s="5" t="s">
        <v>550</v>
      </c>
      <c r="C21" s="6"/>
    </row>
    <row r="22" spans="1:5" x14ac:dyDescent="0.3">
      <c r="A22" s="5" t="s">
        <v>535</v>
      </c>
      <c r="B22">
        <v>292759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2A650-E343-4D94-9C17-B463F320DB3E}">
  <dimension ref="A3:D22"/>
  <sheetViews>
    <sheetView workbookViewId="0">
      <selection activeCell="T11" sqref="T11"/>
    </sheetView>
  </sheetViews>
  <sheetFormatPr defaultRowHeight="14.4" x14ac:dyDescent="0.3"/>
  <cols>
    <col min="1" max="1" width="25.5546875" bestFit="1" customWidth="1"/>
    <col min="2" max="2" width="15.5546875" bestFit="1" customWidth="1"/>
    <col min="3" max="3" width="11.44140625" bestFit="1" customWidth="1"/>
    <col min="4" max="4" width="10.77734375" bestFit="1" customWidth="1"/>
  </cols>
  <sheetData>
    <row r="3" spans="1:4" x14ac:dyDescent="0.3">
      <c r="A3" s="4" t="s">
        <v>536</v>
      </c>
      <c r="B3" s="4" t="s">
        <v>555</v>
      </c>
    </row>
    <row r="4" spans="1:4" x14ac:dyDescent="0.3">
      <c r="A4" s="4" t="s">
        <v>534</v>
      </c>
      <c r="B4" t="s">
        <v>556</v>
      </c>
      <c r="C4" t="s">
        <v>557</v>
      </c>
      <c r="D4" t="s">
        <v>535</v>
      </c>
    </row>
    <row r="5" spans="1:4" x14ac:dyDescent="0.3">
      <c r="A5" s="5" t="s">
        <v>63</v>
      </c>
      <c r="B5">
        <v>3940</v>
      </c>
      <c r="C5">
        <v>15100</v>
      </c>
      <c r="D5">
        <v>19040</v>
      </c>
    </row>
    <row r="6" spans="1:4" x14ac:dyDescent="0.3">
      <c r="A6" s="5" t="s">
        <v>33</v>
      </c>
      <c r="B6">
        <v>1300</v>
      </c>
      <c r="C6">
        <v>3545</v>
      </c>
      <c r="D6">
        <v>4845</v>
      </c>
    </row>
    <row r="7" spans="1:4" x14ac:dyDescent="0.3">
      <c r="A7" s="5" t="s">
        <v>20</v>
      </c>
      <c r="B7">
        <v>648</v>
      </c>
      <c r="C7">
        <v>7272</v>
      </c>
      <c r="D7">
        <v>7920</v>
      </c>
    </row>
    <row r="8" spans="1:4" x14ac:dyDescent="0.3">
      <c r="A8" s="5" t="s">
        <v>36</v>
      </c>
      <c r="B8">
        <v>768</v>
      </c>
      <c r="C8">
        <v>5118</v>
      </c>
      <c r="D8">
        <v>5886</v>
      </c>
    </row>
    <row r="9" spans="1:4" x14ac:dyDescent="0.3">
      <c r="A9" s="5" t="s">
        <v>60</v>
      </c>
      <c r="B9">
        <v>21120</v>
      </c>
      <c r="C9">
        <v>90720</v>
      </c>
      <c r="D9">
        <v>111840</v>
      </c>
    </row>
    <row r="10" spans="1:4" x14ac:dyDescent="0.3">
      <c r="A10" s="5" t="s">
        <v>25</v>
      </c>
      <c r="B10">
        <v>360</v>
      </c>
      <c r="C10">
        <v>2409</v>
      </c>
      <c r="D10">
        <v>2769</v>
      </c>
    </row>
    <row r="11" spans="1:4" x14ac:dyDescent="0.3">
      <c r="A11" s="5" t="s">
        <v>52</v>
      </c>
      <c r="B11">
        <v>456</v>
      </c>
      <c r="C11">
        <v>1588</v>
      </c>
      <c r="D11">
        <v>2044</v>
      </c>
    </row>
    <row r="12" spans="1:4" x14ac:dyDescent="0.3">
      <c r="A12" s="5" t="s">
        <v>45</v>
      </c>
      <c r="B12">
        <v>1780</v>
      </c>
      <c r="C12">
        <v>8420</v>
      </c>
      <c r="D12">
        <v>10200</v>
      </c>
    </row>
    <row r="13" spans="1:4" x14ac:dyDescent="0.3">
      <c r="A13" s="5" t="s">
        <v>56</v>
      </c>
      <c r="B13">
        <v>730</v>
      </c>
      <c r="C13">
        <v>8180</v>
      </c>
      <c r="D13">
        <v>8910</v>
      </c>
    </row>
    <row r="14" spans="1:4" x14ac:dyDescent="0.3">
      <c r="A14" s="5" t="s">
        <v>71</v>
      </c>
      <c r="B14">
        <v>9840</v>
      </c>
      <c r="C14">
        <v>24320</v>
      </c>
      <c r="D14">
        <v>34160</v>
      </c>
    </row>
    <row r="15" spans="1:4" x14ac:dyDescent="0.3">
      <c r="A15" s="5" t="s">
        <v>15</v>
      </c>
      <c r="B15">
        <v>489</v>
      </c>
      <c r="C15">
        <v>2370</v>
      </c>
      <c r="D15">
        <v>2859</v>
      </c>
    </row>
    <row r="16" spans="1:4" x14ac:dyDescent="0.3">
      <c r="A16" s="5" t="s">
        <v>75</v>
      </c>
      <c r="B16">
        <v>6200</v>
      </c>
      <c r="C16">
        <v>38450</v>
      </c>
      <c r="D16">
        <v>44650</v>
      </c>
    </row>
    <row r="17" spans="1:4" x14ac:dyDescent="0.3">
      <c r="A17" s="5" t="s">
        <v>28</v>
      </c>
      <c r="B17">
        <v>912</v>
      </c>
      <c r="C17">
        <v>2788</v>
      </c>
      <c r="D17">
        <v>3700</v>
      </c>
    </row>
    <row r="18" spans="1:4" x14ac:dyDescent="0.3">
      <c r="A18" s="5" t="s">
        <v>67</v>
      </c>
      <c r="B18">
        <v>3240</v>
      </c>
      <c r="C18">
        <v>20670</v>
      </c>
      <c r="D18">
        <v>23910</v>
      </c>
    </row>
    <row r="19" spans="1:4" x14ac:dyDescent="0.3">
      <c r="A19" s="5" t="s">
        <v>49</v>
      </c>
      <c r="B19">
        <v>470</v>
      </c>
      <c r="C19">
        <v>3990</v>
      </c>
      <c r="D19">
        <v>4460</v>
      </c>
    </row>
    <row r="20" spans="1:4" x14ac:dyDescent="0.3">
      <c r="A20" s="5" t="s">
        <v>11</v>
      </c>
      <c r="B20">
        <v>252</v>
      </c>
      <c r="C20">
        <v>1730</v>
      </c>
      <c r="D20">
        <v>1982</v>
      </c>
    </row>
    <row r="21" spans="1:4" x14ac:dyDescent="0.3">
      <c r="A21" s="5" t="s">
        <v>41</v>
      </c>
      <c r="B21">
        <v>556</v>
      </c>
      <c r="C21">
        <v>3028</v>
      </c>
      <c r="D21">
        <v>3584</v>
      </c>
    </row>
    <row r="22" spans="1:4" x14ac:dyDescent="0.3">
      <c r="A22" s="5" t="s">
        <v>535</v>
      </c>
      <c r="B22">
        <v>53061</v>
      </c>
      <c r="C22">
        <v>239698</v>
      </c>
      <c r="D22">
        <v>292759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EE258-FC06-41CE-B874-5C099DF7E825}">
  <dimension ref="A1:K1001"/>
  <sheetViews>
    <sheetView tabSelected="1" topLeftCell="A973" workbookViewId="0">
      <selection activeCell="A2" sqref="A2"/>
    </sheetView>
  </sheetViews>
  <sheetFormatPr defaultRowHeight="14.4" x14ac:dyDescent="0.3"/>
  <cols>
    <col min="1" max="1" width="13.77734375" style="2" customWidth="1"/>
    <col min="2" max="2" width="19.33203125" customWidth="1"/>
    <col min="3" max="3" width="15.5546875" customWidth="1"/>
    <col min="5" max="5" width="24.88671875" customWidth="1"/>
    <col min="6" max="6" width="21" customWidth="1"/>
    <col min="7" max="7" width="11.88671875" customWidth="1"/>
    <col min="8" max="8" width="13.21875" customWidth="1"/>
    <col min="9" max="9" width="10.77734375" customWidth="1"/>
    <col min="10" max="10" width="13.6640625" customWidth="1"/>
    <col min="11" max="11" width="11.21875" customWidth="1"/>
  </cols>
  <sheetData>
    <row r="1" spans="1:11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537</v>
      </c>
      <c r="K1" t="s">
        <v>554</v>
      </c>
    </row>
    <row r="2" spans="1:11" x14ac:dyDescent="0.3">
      <c r="A2" s="2">
        <v>45658</v>
      </c>
      <c r="B2" t="s">
        <v>9</v>
      </c>
      <c r="C2" t="s">
        <v>10</v>
      </c>
      <c r="D2">
        <v>23</v>
      </c>
      <c r="E2" t="s">
        <v>11</v>
      </c>
      <c r="F2" t="s">
        <v>12</v>
      </c>
      <c r="G2" t="s">
        <v>13</v>
      </c>
      <c r="H2" s="1">
        <v>45717</v>
      </c>
      <c r="I2">
        <v>46</v>
      </c>
      <c r="J2" s="1" t="s">
        <v>538</v>
      </c>
      <c r="K2" t="str">
        <f>IF(H2&lt;=DATE(2025,5,5),"Expired","Non-Expired")</f>
        <v>Expired</v>
      </c>
    </row>
    <row r="3" spans="1:11" x14ac:dyDescent="0.3">
      <c r="A3" s="2">
        <v>45658</v>
      </c>
      <c r="B3" t="s">
        <v>9</v>
      </c>
      <c r="C3" t="s">
        <v>14</v>
      </c>
      <c r="D3">
        <v>15</v>
      </c>
      <c r="E3" t="s">
        <v>15</v>
      </c>
      <c r="F3" t="s">
        <v>16</v>
      </c>
      <c r="G3" t="s">
        <v>17</v>
      </c>
      <c r="H3" s="1">
        <v>46023</v>
      </c>
      <c r="I3">
        <v>45</v>
      </c>
      <c r="J3" s="1" t="s">
        <v>538</v>
      </c>
      <c r="K3" t="str">
        <f t="shared" ref="K3:K66" si="0">IF(H3&lt;=DATE(2025,5,5),"Expired","Non-Expired")</f>
        <v>Non-Expired</v>
      </c>
    </row>
    <row r="4" spans="1:11" x14ac:dyDescent="0.3">
      <c r="A4" s="2">
        <v>45658</v>
      </c>
      <c r="B4" t="s">
        <v>18</v>
      </c>
      <c r="C4" t="s">
        <v>19</v>
      </c>
      <c r="D4">
        <v>22</v>
      </c>
      <c r="E4" t="s">
        <v>20</v>
      </c>
      <c r="F4" t="s">
        <v>21</v>
      </c>
      <c r="G4" t="s">
        <v>22</v>
      </c>
      <c r="H4" s="1">
        <v>46388</v>
      </c>
      <c r="I4">
        <v>176</v>
      </c>
      <c r="J4" s="1" t="s">
        <v>538</v>
      </c>
      <c r="K4" t="str">
        <f t="shared" si="0"/>
        <v>Non-Expired</v>
      </c>
    </row>
    <row r="5" spans="1:11" x14ac:dyDescent="0.3">
      <c r="A5" s="2">
        <v>45658</v>
      </c>
      <c r="B5" t="s">
        <v>23</v>
      </c>
      <c r="C5" t="s">
        <v>24</v>
      </c>
      <c r="D5">
        <v>28</v>
      </c>
      <c r="E5" t="s">
        <v>25</v>
      </c>
      <c r="F5" t="s">
        <v>26</v>
      </c>
      <c r="G5" t="s">
        <v>27</v>
      </c>
      <c r="H5" s="1">
        <v>46631</v>
      </c>
      <c r="I5">
        <v>84</v>
      </c>
      <c r="J5" s="1" t="s">
        <v>538</v>
      </c>
      <c r="K5" t="str">
        <f t="shared" si="0"/>
        <v>Non-Expired</v>
      </c>
    </row>
    <row r="6" spans="1:11" x14ac:dyDescent="0.3">
      <c r="A6" s="2">
        <v>45658</v>
      </c>
      <c r="B6" t="s">
        <v>9</v>
      </c>
      <c r="C6" t="s">
        <v>10</v>
      </c>
      <c r="D6">
        <v>30</v>
      </c>
      <c r="E6" t="s">
        <v>28</v>
      </c>
      <c r="F6" t="s">
        <v>29</v>
      </c>
      <c r="G6" t="s">
        <v>30</v>
      </c>
      <c r="H6" s="1">
        <v>46204</v>
      </c>
      <c r="I6">
        <v>120</v>
      </c>
      <c r="J6" s="1" t="s">
        <v>538</v>
      </c>
      <c r="K6" t="str">
        <f t="shared" si="0"/>
        <v>Non-Expired</v>
      </c>
    </row>
    <row r="7" spans="1:11" x14ac:dyDescent="0.3">
      <c r="A7" s="2">
        <v>45658</v>
      </c>
      <c r="B7" t="s">
        <v>31</v>
      </c>
      <c r="C7" t="s">
        <v>32</v>
      </c>
      <c r="D7">
        <v>30</v>
      </c>
      <c r="E7" t="s">
        <v>33</v>
      </c>
      <c r="F7" t="s">
        <v>34</v>
      </c>
      <c r="G7" t="s">
        <v>35</v>
      </c>
      <c r="H7" s="1">
        <v>45627</v>
      </c>
      <c r="I7">
        <v>150</v>
      </c>
      <c r="J7" s="1" t="s">
        <v>538</v>
      </c>
      <c r="K7" t="str">
        <f t="shared" si="0"/>
        <v>Expired</v>
      </c>
    </row>
    <row r="8" spans="1:11" x14ac:dyDescent="0.3">
      <c r="A8" s="2">
        <v>45658</v>
      </c>
      <c r="B8" t="s">
        <v>9</v>
      </c>
      <c r="C8" t="s">
        <v>19</v>
      </c>
      <c r="D8">
        <v>21</v>
      </c>
      <c r="E8" t="s">
        <v>36</v>
      </c>
      <c r="F8" t="s">
        <v>37</v>
      </c>
      <c r="G8" t="s">
        <v>38</v>
      </c>
      <c r="H8" s="1">
        <v>46692</v>
      </c>
      <c r="I8">
        <v>126</v>
      </c>
      <c r="J8" s="1" t="s">
        <v>538</v>
      </c>
      <c r="K8" t="str">
        <f t="shared" si="0"/>
        <v>Non-Expired</v>
      </c>
    </row>
    <row r="9" spans="1:11" x14ac:dyDescent="0.3">
      <c r="A9" s="2">
        <v>45658</v>
      </c>
      <c r="B9" t="s">
        <v>39</v>
      </c>
      <c r="C9" t="s">
        <v>40</v>
      </c>
      <c r="D9">
        <v>10</v>
      </c>
      <c r="E9" t="s">
        <v>41</v>
      </c>
      <c r="F9" t="s">
        <v>12</v>
      </c>
      <c r="G9" t="s">
        <v>42</v>
      </c>
      <c r="H9" s="1">
        <v>46539</v>
      </c>
      <c r="I9">
        <v>40</v>
      </c>
      <c r="J9" s="1" t="s">
        <v>538</v>
      </c>
      <c r="K9" t="str">
        <f t="shared" si="0"/>
        <v>Non-Expired</v>
      </c>
    </row>
    <row r="10" spans="1:11" x14ac:dyDescent="0.3">
      <c r="A10" s="2">
        <v>45689</v>
      </c>
      <c r="B10" t="s">
        <v>43</v>
      </c>
      <c r="C10" t="s">
        <v>44</v>
      </c>
      <c r="D10">
        <v>12</v>
      </c>
      <c r="E10" t="s">
        <v>45</v>
      </c>
      <c r="F10" t="s">
        <v>16</v>
      </c>
      <c r="G10" t="s">
        <v>46</v>
      </c>
      <c r="H10" s="1">
        <v>45413</v>
      </c>
      <c r="I10">
        <v>120</v>
      </c>
      <c r="J10" s="1" t="s">
        <v>538</v>
      </c>
      <c r="K10" t="str">
        <f t="shared" si="0"/>
        <v>Expired</v>
      </c>
    </row>
    <row r="11" spans="1:11" x14ac:dyDescent="0.3">
      <c r="A11" s="2">
        <v>45689</v>
      </c>
      <c r="B11" t="s">
        <v>47</v>
      </c>
      <c r="C11" t="s">
        <v>48</v>
      </c>
      <c r="D11">
        <v>8</v>
      </c>
      <c r="E11" t="s">
        <v>49</v>
      </c>
      <c r="F11" t="s">
        <v>50</v>
      </c>
      <c r="G11" t="s">
        <v>51</v>
      </c>
      <c r="H11" s="1">
        <v>46204</v>
      </c>
      <c r="I11">
        <v>40</v>
      </c>
      <c r="J11" s="1" t="s">
        <v>538</v>
      </c>
      <c r="K11" t="str">
        <f t="shared" si="0"/>
        <v>Non-Expired</v>
      </c>
    </row>
    <row r="12" spans="1:11" x14ac:dyDescent="0.3">
      <c r="A12" s="2">
        <v>45689</v>
      </c>
      <c r="B12" t="s">
        <v>23</v>
      </c>
      <c r="C12" t="s">
        <v>44</v>
      </c>
      <c r="D12">
        <v>29</v>
      </c>
      <c r="E12" t="s">
        <v>52</v>
      </c>
      <c r="F12" t="s">
        <v>53</v>
      </c>
      <c r="G12" t="s">
        <v>54</v>
      </c>
      <c r="H12" s="1">
        <v>46204</v>
      </c>
      <c r="I12">
        <v>58</v>
      </c>
      <c r="J12" s="1" t="s">
        <v>538</v>
      </c>
      <c r="K12" t="str">
        <f t="shared" si="0"/>
        <v>Non-Expired</v>
      </c>
    </row>
    <row r="13" spans="1:11" x14ac:dyDescent="0.3">
      <c r="A13" s="2">
        <v>45689</v>
      </c>
      <c r="B13" t="s">
        <v>43</v>
      </c>
      <c r="C13" t="s">
        <v>55</v>
      </c>
      <c r="D13">
        <v>10</v>
      </c>
      <c r="E13" t="s">
        <v>56</v>
      </c>
      <c r="F13" t="s">
        <v>53</v>
      </c>
      <c r="G13" t="s">
        <v>57</v>
      </c>
      <c r="H13" s="1">
        <v>46143</v>
      </c>
      <c r="I13">
        <v>100</v>
      </c>
      <c r="J13" s="1" t="s">
        <v>538</v>
      </c>
      <c r="K13" t="str">
        <f t="shared" si="0"/>
        <v>Non-Expired</v>
      </c>
    </row>
    <row r="14" spans="1:11" x14ac:dyDescent="0.3">
      <c r="A14" s="2">
        <v>45689</v>
      </c>
      <c r="B14" t="s">
        <v>58</v>
      </c>
      <c r="C14" t="s">
        <v>59</v>
      </c>
      <c r="D14">
        <v>13</v>
      </c>
      <c r="E14" t="s">
        <v>60</v>
      </c>
      <c r="F14" t="s">
        <v>61</v>
      </c>
      <c r="G14" t="s">
        <v>62</v>
      </c>
      <c r="H14" s="1">
        <v>46266</v>
      </c>
      <c r="I14">
        <v>840</v>
      </c>
      <c r="J14" s="1" t="s">
        <v>538</v>
      </c>
      <c r="K14" t="str">
        <f t="shared" si="0"/>
        <v>Non-Expired</v>
      </c>
    </row>
    <row r="15" spans="1:11" x14ac:dyDescent="0.3">
      <c r="A15" s="2">
        <v>45689</v>
      </c>
      <c r="B15" t="s">
        <v>9</v>
      </c>
      <c r="C15" t="s">
        <v>24</v>
      </c>
      <c r="D15">
        <v>14</v>
      </c>
      <c r="E15" t="s">
        <v>63</v>
      </c>
      <c r="F15" t="s">
        <v>50</v>
      </c>
      <c r="G15" t="s">
        <v>64</v>
      </c>
      <c r="H15" s="1">
        <v>45717</v>
      </c>
      <c r="I15">
        <v>840</v>
      </c>
      <c r="J15" s="1" t="s">
        <v>538</v>
      </c>
      <c r="K15" t="str">
        <f t="shared" si="0"/>
        <v>Expired</v>
      </c>
    </row>
    <row r="16" spans="1:11" x14ac:dyDescent="0.3">
      <c r="A16" s="2">
        <v>45689</v>
      </c>
      <c r="B16" t="s">
        <v>65</v>
      </c>
      <c r="C16" t="s">
        <v>66</v>
      </c>
      <c r="D16">
        <v>28</v>
      </c>
      <c r="E16" t="s">
        <v>67</v>
      </c>
      <c r="F16" t="s">
        <v>68</v>
      </c>
      <c r="G16" t="s">
        <v>69</v>
      </c>
      <c r="H16" s="1">
        <v>46722</v>
      </c>
      <c r="I16">
        <v>840</v>
      </c>
      <c r="J16" s="1" t="s">
        <v>538</v>
      </c>
      <c r="K16" t="str">
        <f t="shared" si="0"/>
        <v>Non-Expired</v>
      </c>
    </row>
    <row r="17" spans="1:11" x14ac:dyDescent="0.3">
      <c r="A17" s="2">
        <v>45689</v>
      </c>
      <c r="B17" t="s">
        <v>23</v>
      </c>
      <c r="C17" t="s">
        <v>70</v>
      </c>
      <c r="D17">
        <v>23</v>
      </c>
      <c r="E17" t="s">
        <v>71</v>
      </c>
      <c r="F17" t="s">
        <v>72</v>
      </c>
      <c r="G17" t="s">
        <v>73</v>
      </c>
      <c r="H17" s="1">
        <v>46722</v>
      </c>
      <c r="I17">
        <v>920</v>
      </c>
      <c r="J17" s="1" t="s">
        <v>538</v>
      </c>
      <c r="K17" t="str">
        <f t="shared" si="0"/>
        <v>Non-Expired</v>
      </c>
    </row>
    <row r="18" spans="1:11" x14ac:dyDescent="0.3">
      <c r="A18" s="2">
        <v>45717</v>
      </c>
      <c r="B18" t="s">
        <v>9</v>
      </c>
      <c r="C18" t="s">
        <v>74</v>
      </c>
      <c r="D18">
        <v>25</v>
      </c>
      <c r="E18" t="s">
        <v>75</v>
      </c>
      <c r="F18" t="s">
        <v>16</v>
      </c>
      <c r="G18" t="s">
        <v>76</v>
      </c>
      <c r="H18" s="1">
        <v>46692</v>
      </c>
      <c r="I18">
        <v>1250</v>
      </c>
      <c r="J18" s="1" t="s">
        <v>538</v>
      </c>
      <c r="K18" t="str">
        <f t="shared" si="0"/>
        <v>Non-Expired</v>
      </c>
    </row>
    <row r="19" spans="1:11" x14ac:dyDescent="0.3">
      <c r="A19" s="2">
        <v>45717</v>
      </c>
      <c r="B19" t="s">
        <v>18</v>
      </c>
      <c r="C19" t="s">
        <v>70</v>
      </c>
      <c r="D19">
        <v>13</v>
      </c>
      <c r="E19" t="s">
        <v>11</v>
      </c>
      <c r="F19" t="s">
        <v>12</v>
      </c>
      <c r="G19" t="s">
        <v>77</v>
      </c>
      <c r="H19" s="1">
        <v>46508</v>
      </c>
      <c r="I19">
        <v>26</v>
      </c>
      <c r="J19" s="1" t="s">
        <v>538</v>
      </c>
      <c r="K19" t="str">
        <f t="shared" si="0"/>
        <v>Non-Expired</v>
      </c>
    </row>
    <row r="20" spans="1:11" x14ac:dyDescent="0.3">
      <c r="A20" s="2">
        <v>45717</v>
      </c>
      <c r="B20" t="s">
        <v>18</v>
      </c>
      <c r="C20" t="s">
        <v>78</v>
      </c>
      <c r="D20">
        <v>26</v>
      </c>
      <c r="E20" t="s">
        <v>15</v>
      </c>
      <c r="F20" t="s">
        <v>16</v>
      </c>
      <c r="G20" t="s">
        <v>79</v>
      </c>
      <c r="H20" s="1">
        <v>46447</v>
      </c>
      <c r="I20">
        <v>78</v>
      </c>
      <c r="J20" s="1" t="s">
        <v>538</v>
      </c>
      <c r="K20" t="str">
        <f t="shared" si="0"/>
        <v>Non-Expired</v>
      </c>
    </row>
    <row r="21" spans="1:11" x14ac:dyDescent="0.3">
      <c r="A21" s="2">
        <v>45717</v>
      </c>
      <c r="B21" t="s">
        <v>80</v>
      </c>
      <c r="C21" t="s">
        <v>59</v>
      </c>
      <c r="D21">
        <v>4</v>
      </c>
      <c r="E21" t="s">
        <v>20</v>
      </c>
      <c r="F21" t="s">
        <v>21</v>
      </c>
      <c r="G21" t="s">
        <v>81</v>
      </c>
      <c r="H21" s="1">
        <v>46143</v>
      </c>
      <c r="I21">
        <v>32</v>
      </c>
      <c r="J21" s="1" t="s">
        <v>538</v>
      </c>
      <c r="K21" t="str">
        <f t="shared" si="0"/>
        <v>Non-Expired</v>
      </c>
    </row>
    <row r="22" spans="1:11" x14ac:dyDescent="0.3">
      <c r="A22" s="2">
        <v>45717</v>
      </c>
      <c r="B22" t="s">
        <v>18</v>
      </c>
      <c r="C22" t="s">
        <v>74</v>
      </c>
      <c r="D22">
        <v>10</v>
      </c>
      <c r="E22" t="s">
        <v>25</v>
      </c>
      <c r="F22" t="s">
        <v>26</v>
      </c>
      <c r="G22" t="s">
        <v>82</v>
      </c>
      <c r="H22" s="1">
        <v>46327</v>
      </c>
      <c r="I22">
        <v>30</v>
      </c>
      <c r="J22" s="1" t="s">
        <v>538</v>
      </c>
      <c r="K22" t="str">
        <f t="shared" si="0"/>
        <v>Non-Expired</v>
      </c>
    </row>
    <row r="23" spans="1:11" x14ac:dyDescent="0.3">
      <c r="A23" s="2">
        <v>45717</v>
      </c>
      <c r="B23" t="s">
        <v>9</v>
      </c>
      <c r="C23" t="s">
        <v>83</v>
      </c>
      <c r="D23">
        <v>11</v>
      </c>
      <c r="E23" t="s">
        <v>28</v>
      </c>
      <c r="F23" t="s">
        <v>29</v>
      </c>
      <c r="G23" t="s">
        <v>84</v>
      </c>
      <c r="H23" s="1">
        <v>46813</v>
      </c>
      <c r="I23">
        <v>44</v>
      </c>
      <c r="J23" s="1" t="s">
        <v>538</v>
      </c>
      <c r="K23" t="str">
        <f t="shared" si="0"/>
        <v>Non-Expired</v>
      </c>
    </row>
    <row r="24" spans="1:11" x14ac:dyDescent="0.3">
      <c r="A24" s="2">
        <v>45717</v>
      </c>
      <c r="B24" t="s">
        <v>85</v>
      </c>
      <c r="C24" t="s">
        <v>32</v>
      </c>
      <c r="D24">
        <v>20</v>
      </c>
      <c r="E24" t="s">
        <v>33</v>
      </c>
      <c r="F24" t="s">
        <v>34</v>
      </c>
      <c r="G24" t="s">
        <v>86</v>
      </c>
      <c r="H24" s="1">
        <v>44986</v>
      </c>
      <c r="I24">
        <v>100</v>
      </c>
      <c r="J24" s="1" t="s">
        <v>538</v>
      </c>
      <c r="K24" t="str">
        <f t="shared" si="0"/>
        <v>Expired</v>
      </c>
    </row>
    <row r="25" spans="1:11" x14ac:dyDescent="0.3">
      <c r="A25" s="2">
        <v>45717</v>
      </c>
      <c r="B25" t="s">
        <v>80</v>
      </c>
      <c r="C25" t="s">
        <v>66</v>
      </c>
      <c r="D25">
        <v>12</v>
      </c>
      <c r="E25" t="s">
        <v>36</v>
      </c>
      <c r="F25" t="s">
        <v>37</v>
      </c>
      <c r="G25" t="s">
        <v>87</v>
      </c>
      <c r="H25" s="1">
        <v>46082</v>
      </c>
      <c r="I25">
        <v>72</v>
      </c>
      <c r="J25" s="1" t="s">
        <v>538</v>
      </c>
      <c r="K25" t="str">
        <f t="shared" si="0"/>
        <v>Non-Expired</v>
      </c>
    </row>
    <row r="26" spans="1:11" x14ac:dyDescent="0.3">
      <c r="A26" s="2">
        <v>45748</v>
      </c>
      <c r="B26" t="s">
        <v>9</v>
      </c>
      <c r="C26" t="s">
        <v>88</v>
      </c>
      <c r="D26">
        <v>21</v>
      </c>
      <c r="E26" t="s">
        <v>41</v>
      </c>
      <c r="F26" t="s">
        <v>12</v>
      </c>
      <c r="G26" t="s">
        <v>89</v>
      </c>
      <c r="H26" s="1">
        <v>46753</v>
      </c>
      <c r="I26">
        <v>84</v>
      </c>
      <c r="J26" s="1" t="s">
        <v>538</v>
      </c>
      <c r="K26" t="str">
        <f t="shared" si="0"/>
        <v>Non-Expired</v>
      </c>
    </row>
    <row r="27" spans="1:11" x14ac:dyDescent="0.3">
      <c r="A27" s="2">
        <v>45748</v>
      </c>
      <c r="B27" t="s">
        <v>90</v>
      </c>
      <c r="C27" t="s">
        <v>40</v>
      </c>
      <c r="D27">
        <v>21</v>
      </c>
      <c r="E27" t="s">
        <v>45</v>
      </c>
      <c r="F27" t="s">
        <v>16</v>
      </c>
      <c r="G27" t="s">
        <v>91</v>
      </c>
      <c r="H27" s="1">
        <v>46539</v>
      </c>
      <c r="I27">
        <v>210</v>
      </c>
      <c r="J27" s="1" t="s">
        <v>538</v>
      </c>
      <c r="K27" t="str">
        <f t="shared" si="0"/>
        <v>Non-Expired</v>
      </c>
    </row>
    <row r="28" spans="1:11" x14ac:dyDescent="0.3">
      <c r="A28" s="2">
        <v>45748</v>
      </c>
      <c r="B28" t="s">
        <v>92</v>
      </c>
      <c r="C28" t="s">
        <v>10</v>
      </c>
      <c r="D28">
        <v>28</v>
      </c>
      <c r="E28" t="s">
        <v>49</v>
      </c>
      <c r="F28" t="s">
        <v>50</v>
      </c>
      <c r="G28" t="s">
        <v>93</v>
      </c>
      <c r="H28" s="1">
        <v>46235</v>
      </c>
      <c r="I28">
        <v>140</v>
      </c>
      <c r="J28" s="1" t="s">
        <v>538</v>
      </c>
      <c r="K28" t="str">
        <f t="shared" si="0"/>
        <v>Non-Expired</v>
      </c>
    </row>
    <row r="29" spans="1:11" x14ac:dyDescent="0.3">
      <c r="A29" s="2">
        <v>45748</v>
      </c>
      <c r="B29" t="s">
        <v>18</v>
      </c>
      <c r="C29" t="s">
        <v>10</v>
      </c>
      <c r="D29">
        <v>14</v>
      </c>
      <c r="E29" t="s">
        <v>52</v>
      </c>
      <c r="F29" t="s">
        <v>53</v>
      </c>
      <c r="G29" t="s">
        <v>94</v>
      </c>
      <c r="H29" s="1">
        <v>46692</v>
      </c>
      <c r="I29">
        <v>28</v>
      </c>
      <c r="J29" s="1" t="s">
        <v>538</v>
      </c>
      <c r="K29" t="str">
        <f t="shared" si="0"/>
        <v>Non-Expired</v>
      </c>
    </row>
    <row r="30" spans="1:11" x14ac:dyDescent="0.3">
      <c r="A30" s="2">
        <v>45748</v>
      </c>
      <c r="B30" t="s">
        <v>39</v>
      </c>
      <c r="C30" t="s">
        <v>59</v>
      </c>
      <c r="D30">
        <v>7</v>
      </c>
      <c r="E30" t="s">
        <v>56</v>
      </c>
      <c r="F30" t="s">
        <v>53</v>
      </c>
      <c r="G30" t="s">
        <v>95</v>
      </c>
      <c r="H30" s="1">
        <v>46478</v>
      </c>
      <c r="I30">
        <v>70</v>
      </c>
      <c r="J30" s="1" t="s">
        <v>538</v>
      </c>
      <c r="K30" t="str">
        <f t="shared" si="0"/>
        <v>Non-Expired</v>
      </c>
    </row>
    <row r="31" spans="1:11" x14ac:dyDescent="0.3">
      <c r="A31" s="2">
        <v>45748</v>
      </c>
      <c r="B31" t="s">
        <v>23</v>
      </c>
      <c r="C31" t="s">
        <v>40</v>
      </c>
      <c r="D31">
        <v>14</v>
      </c>
      <c r="E31" t="s">
        <v>60</v>
      </c>
      <c r="F31" t="s">
        <v>61</v>
      </c>
      <c r="G31" t="s">
        <v>96</v>
      </c>
      <c r="H31" s="1">
        <v>46569</v>
      </c>
      <c r="I31">
        <v>1680</v>
      </c>
      <c r="J31" s="1" t="s">
        <v>538</v>
      </c>
      <c r="K31" t="str">
        <f t="shared" si="0"/>
        <v>Non-Expired</v>
      </c>
    </row>
    <row r="32" spans="1:11" x14ac:dyDescent="0.3">
      <c r="A32" s="2">
        <v>45748</v>
      </c>
      <c r="B32" t="s">
        <v>97</v>
      </c>
      <c r="C32" t="s">
        <v>32</v>
      </c>
      <c r="D32">
        <v>29</v>
      </c>
      <c r="E32" t="s">
        <v>63</v>
      </c>
      <c r="F32" t="s">
        <v>50</v>
      </c>
      <c r="G32" t="s">
        <v>98</v>
      </c>
      <c r="H32" s="1">
        <v>45413</v>
      </c>
      <c r="I32">
        <v>580</v>
      </c>
      <c r="J32" s="1" t="s">
        <v>538</v>
      </c>
      <c r="K32" t="str">
        <f t="shared" si="0"/>
        <v>Expired</v>
      </c>
    </row>
    <row r="33" spans="1:11" x14ac:dyDescent="0.3">
      <c r="A33" s="2">
        <v>45748</v>
      </c>
      <c r="B33" t="s">
        <v>39</v>
      </c>
      <c r="C33" t="s">
        <v>99</v>
      </c>
      <c r="D33">
        <v>27</v>
      </c>
      <c r="E33" t="s">
        <v>67</v>
      </c>
      <c r="F33" t="s">
        <v>68</v>
      </c>
      <c r="G33" t="s">
        <v>100</v>
      </c>
      <c r="H33" s="1">
        <v>46266</v>
      </c>
      <c r="I33">
        <v>810</v>
      </c>
      <c r="J33" s="1" t="s">
        <v>538</v>
      </c>
      <c r="K33" t="str">
        <f t="shared" si="0"/>
        <v>Non-Expired</v>
      </c>
    </row>
    <row r="34" spans="1:11" x14ac:dyDescent="0.3">
      <c r="A34" s="2">
        <v>45778</v>
      </c>
      <c r="B34" t="s">
        <v>97</v>
      </c>
      <c r="C34" t="s">
        <v>101</v>
      </c>
      <c r="D34">
        <v>27</v>
      </c>
      <c r="E34" t="s">
        <v>71</v>
      </c>
      <c r="F34" t="s">
        <v>72</v>
      </c>
      <c r="G34" t="s">
        <v>102</v>
      </c>
      <c r="H34" s="1">
        <v>46539</v>
      </c>
      <c r="I34">
        <v>1080</v>
      </c>
      <c r="J34" s="1" t="s">
        <v>538</v>
      </c>
      <c r="K34" t="str">
        <f t="shared" si="0"/>
        <v>Non-Expired</v>
      </c>
    </row>
    <row r="35" spans="1:11" x14ac:dyDescent="0.3">
      <c r="A35" s="2">
        <v>45778</v>
      </c>
      <c r="B35" t="s">
        <v>18</v>
      </c>
      <c r="C35" t="s">
        <v>103</v>
      </c>
      <c r="D35">
        <v>4</v>
      </c>
      <c r="E35" t="s">
        <v>75</v>
      </c>
      <c r="F35" t="s">
        <v>16</v>
      </c>
      <c r="G35" t="s">
        <v>104</v>
      </c>
      <c r="H35" s="1">
        <v>46447</v>
      </c>
      <c r="I35">
        <v>200</v>
      </c>
      <c r="J35" s="1" t="s">
        <v>538</v>
      </c>
      <c r="K35" t="str">
        <f t="shared" si="0"/>
        <v>Non-Expired</v>
      </c>
    </row>
    <row r="36" spans="1:11" x14ac:dyDescent="0.3">
      <c r="A36" s="2">
        <v>45778</v>
      </c>
      <c r="B36" t="s">
        <v>85</v>
      </c>
      <c r="C36" t="s">
        <v>83</v>
      </c>
      <c r="D36">
        <v>20</v>
      </c>
      <c r="E36" t="s">
        <v>11</v>
      </c>
      <c r="F36" t="s">
        <v>12</v>
      </c>
      <c r="G36" t="s">
        <v>105</v>
      </c>
      <c r="H36" s="1">
        <v>46661</v>
      </c>
      <c r="I36">
        <v>40</v>
      </c>
      <c r="J36" s="1" t="s">
        <v>538</v>
      </c>
      <c r="K36" t="str">
        <f t="shared" si="0"/>
        <v>Non-Expired</v>
      </c>
    </row>
    <row r="37" spans="1:11" x14ac:dyDescent="0.3">
      <c r="A37" s="2">
        <v>45778</v>
      </c>
      <c r="B37" t="s">
        <v>80</v>
      </c>
      <c r="C37" t="s">
        <v>66</v>
      </c>
      <c r="D37">
        <v>9</v>
      </c>
      <c r="E37" t="s">
        <v>15</v>
      </c>
      <c r="F37" t="s">
        <v>16</v>
      </c>
      <c r="G37" t="s">
        <v>106</v>
      </c>
      <c r="H37" s="1">
        <v>46419</v>
      </c>
      <c r="I37">
        <v>27</v>
      </c>
      <c r="J37" s="1" t="s">
        <v>538</v>
      </c>
      <c r="K37" t="str">
        <f t="shared" si="0"/>
        <v>Non-Expired</v>
      </c>
    </row>
    <row r="38" spans="1:11" x14ac:dyDescent="0.3">
      <c r="A38" s="2">
        <v>45778</v>
      </c>
      <c r="B38" t="s">
        <v>9</v>
      </c>
      <c r="C38" t="s">
        <v>107</v>
      </c>
      <c r="D38">
        <v>24</v>
      </c>
      <c r="E38" t="s">
        <v>20</v>
      </c>
      <c r="F38" t="s">
        <v>21</v>
      </c>
      <c r="G38" t="s">
        <v>108</v>
      </c>
      <c r="H38" s="1">
        <v>46508</v>
      </c>
      <c r="I38">
        <v>192</v>
      </c>
      <c r="J38" s="1" t="s">
        <v>538</v>
      </c>
      <c r="K38" t="str">
        <f t="shared" si="0"/>
        <v>Non-Expired</v>
      </c>
    </row>
    <row r="39" spans="1:11" x14ac:dyDescent="0.3">
      <c r="A39" s="2">
        <v>45778</v>
      </c>
      <c r="B39" t="s">
        <v>31</v>
      </c>
      <c r="C39" t="s">
        <v>101</v>
      </c>
      <c r="D39">
        <v>17</v>
      </c>
      <c r="E39" t="s">
        <v>25</v>
      </c>
      <c r="F39" t="s">
        <v>26</v>
      </c>
      <c r="G39" t="s">
        <v>109</v>
      </c>
      <c r="H39" s="1">
        <v>46478</v>
      </c>
      <c r="I39">
        <v>51</v>
      </c>
      <c r="J39" s="1" t="s">
        <v>538</v>
      </c>
      <c r="K39" t="str">
        <f t="shared" si="0"/>
        <v>Non-Expired</v>
      </c>
    </row>
    <row r="40" spans="1:11" x14ac:dyDescent="0.3">
      <c r="A40" s="2">
        <v>45778</v>
      </c>
      <c r="B40" t="s">
        <v>9</v>
      </c>
      <c r="C40" t="s">
        <v>40</v>
      </c>
      <c r="D40">
        <v>4</v>
      </c>
      <c r="E40" t="s">
        <v>28</v>
      </c>
      <c r="F40" t="s">
        <v>29</v>
      </c>
      <c r="G40" t="s">
        <v>110</v>
      </c>
      <c r="H40" s="1">
        <v>46722</v>
      </c>
      <c r="I40">
        <v>16</v>
      </c>
      <c r="J40" s="1" t="s">
        <v>538</v>
      </c>
      <c r="K40" t="str">
        <f t="shared" si="0"/>
        <v>Non-Expired</v>
      </c>
    </row>
    <row r="41" spans="1:11" x14ac:dyDescent="0.3">
      <c r="A41" s="2">
        <v>45778</v>
      </c>
      <c r="B41" t="s">
        <v>85</v>
      </c>
      <c r="C41" t="s">
        <v>44</v>
      </c>
      <c r="D41">
        <v>12</v>
      </c>
      <c r="E41" t="s">
        <v>33</v>
      </c>
      <c r="F41" t="s">
        <v>34</v>
      </c>
      <c r="G41" t="s">
        <v>111</v>
      </c>
      <c r="H41" s="1">
        <v>46174</v>
      </c>
      <c r="I41">
        <v>60</v>
      </c>
      <c r="J41" s="1" t="s">
        <v>538</v>
      </c>
      <c r="K41" t="str">
        <f t="shared" si="0"/>
        <v>Non-Expired</v>
      </c>
    </row>
    <row r="42" spans="1:11" x14ac:dyDescent="0.3">
      <c r="A42" s="2">
        <v>45809</v>
      </c>
      <c r="B42" t="s">
        <v>85</v>
      </c>
      <c r="C42" t="s">
        <v>112</v>
      </c>
      <c r="D42">
        <v>8</v>
      </c>
      <c r="E42" t="s">
        <v>36</v>
      </c>
      <c r="F42" t="s">
        <v>37</v>
      </c>
      <c r="G42" t="s">
        <v>113</v>
      </c>
      <c r="H42" s="1">
        <v>46539</v>
      </c>
      <c r="I42">
        <v>48</v>
      </c>
      <c r="J42" s="1" t="s">
        <v>538</v>
      </c>
      <c r="K42" t="str">
        <f t="shared" si="0"/>
        <v>Non-Expired</v>
      </c>
    </row>
    <row r="43" spans="1:11" x14ac:dyDescent="0.3">
      <c r="A43" s="2">
        <v>45809</v>
      </c>
      <c r="B43" t="s">
        <v>39</v>
      </c>
      <c r="C43" t="s">
        <v>14</v>
      </c>
      <c r="D43">
        <v>10</v>
      </c>
      <c r="E43" t="s">
        <v>41</v>
      </c>
      <c r="F43" t="s">
        <v>12</v>
      </c>
      <c r="G43" t="s">
        <v>42</v>
      </c>
      <c r="H43" s="1">
        <v>46508</v>
      </c>
      <c r="I43">
        <v>40</v>
      </c>
      <c r="J43" s="1" t="s">
        <v>538</v>
      </c>
      <c r="K43" t="str">
        <f t="shared" si="0"/>
        <v>Non-Expired</v>
      </c>
    </row>
    <row r="44" spans="1:11" x14ac:dyDescent="0.3">
      <c r="A44" s="2">
        <v>45809</v>
      </c>
      <c r="B44" t="s">
        <v>18</v>
      </c>
      <c r="C44" t="s">
        <v>14</v>
      </c>
      <c r="D44">
        <v>20</v>
      </c>
      <c r="E44" t="s">
        <v>45</v>
      </c>
      <c r="F44" t="s">
        <v>16</v>
      </c>
      <c r="G44" t="s">
        <v>114</v>
      </c>
      <c r="H44" s="1">
        <v>44986</v>
      </c>
      <c r="I44">
        <v>200</v>
      </c>
      <c r="J44" s="1" t="s">
        <v>538</v>
      </c>
      <c r="K44" t="str">
        <f t="shared" si="0"/>
        <v>Expired</v>
      </c>
    </row>
    <row r="45" spans="1:11" x14ac:dyDescent="0.3">
      <c r="A45" s="2">
        <v>45809</v>
      </c>
      <c r="B45" t="s">
        <v>58</v>
      </c>
      <c r="C45" t="s">
        <v>59</v>
      </c>
      <c r="D45">
        <v>10</v>
      </c>
      <c r="E45" t="s">
        <v>49</v>
      </c>
      <c r="F45" t="s">
        <v>50</v>
      </c>
      <c r="G45" t="s">
        <v>115</v>
      </c>
      <c r="H45" s="1">
        <v>46388</v>
      </c>
      <c r="I45">
        <v>50</v>
      </c>
      <c r="J45" s="1" t="s">
        <v>538</v>
      </c>
      <c r="K45" t="str">
        <f t="shared" si="0"/>
        <v>Non-Expired</v>
      </c>
    </row>
    <row r="46" spans="1:11" x14ac:dyDescent="0.3">
      <c r="A46" s="2">
        <v>45809</v>
      </c>
      <c r="B46" t="s">
        <v>23</v>
      </c>
      <c r="C46" t="s">
        <v>83</v>
      </c>
      <c r="D46">
        <v>2</v>
      </c>
      <c r="E46" t="s">
        <v>52</v>
      </c>
      <c r="F46" t="s">
        <v>53</v>
      </c>
      <c r="G46" t="s">
        <v>116</v>
      </c>
      <c r="H46" s="1">
        <v>46447</v>
      </c>
      <c r="I46">
        <v>4</v>
      </c>
      <c r="J46" s="1" t="s">
        <v>538</v>
      </c>
      <c r="K46" t="str">
        <f t="shared" si="0"/>
        <v>Non-Expired</v>
      </c>
    </row>
    <row r="47" spans="1:11" x14ac:dyDescent="0.3">
      <c r="A47" s="2">
        <v>45809</v>
      </c>
      <c r="B47" t="s">
        <v>58</v>
      </c>
      <c r="C47" t="s">
        <v>74</v>
      </c>
      <c r="D47">
        <v>9</v>
      </c>
      <c r="E47" t="s">
        <v>56</v>
      </c>
      <c r="F47" t="s">
        <v>53</v>
      </c>
      <c r="G47" t="s">
        <v>117</v>
      </c>
      <c r="H47" s="1">
        <v>46508</v>
      </c>
      <c r="I47">
        <v>90</v>
      </c>
      <c r="J47" s="1" t="s">
        <v>538</v>
      </c>
      <c r="K47" t="str">
        <f t="shared" si="0"/>
        <v>Non-Expired</v>
      </c>
    </row>
    <row r="48" spans="1:11" x14ac:dyDescent="0.3">
      <c r="A48" s="2">
        <v>45809</v>
      </c>
      <c r="B48" t="s">
        <v>9</v>
      </c>
      <c r="C48" t="s">
        <v>19</v>
      </c>
      <c r="D48">
        <v>2</v>
      </c>
      <c r="E48" t="s">
        <v>60</v>
      </c>
      <c r="F48" t="s">
        <v>61</v>
      </c>
      <c r="G48" t="s">
        <v>118</v>
      </c>
      <c r="H48" s="1">
        <v>46631</v>
      </c>
      <c r="I48">
        <v>240</v>
      </c>
      <c r="J48" s="1" t="s">
        <v>538</v>
      </c>
      <c r="K48" t="str">
        <f t="shared" si="0"/>
        <v>Non-Expired</v>
      </c>
    </row>
    <row r="49" spans="1:11" x14ac:dyDescent="0.3">
      <c r="A49" s="2">
        <v>45809</v>
      </c>
      <c r="B49" t="s">
        <v>9</v>
      </c>
      <c r="C49" t="s">
        <v>119</v>
      </c>
      <c r="D49">
        <v>11</v>
      </c>
      <c r="E49" t="s">
        <v>63</v>
      </c>
      <c r="F49" t="s">
        <v>50</v>
      </c>
      <c r="G49" t="s">
        <v>120</v>
      </c>
      <c r="H49" s="1">
        <v>46539</v>
      </c>
      <c r="I49">
        <v>220</v>
      </c>
      <c r="J49" s="1" t="s">
        <v>538</v>
      </c>
      <c r="K49" t="str">
        <f t="shared" si="0"/>
        <v>Non-Expired</v>
      </c>
    </row>
    <row r="50" spans="1:11" x14ac:dyDescent="0.3">
      <c r="A50" s="2">
        <v>45839</v>
      </c>
      <c r="B50" t="s">
        <v>9</v>
      </c>
      <c r="C50" t="s">
        <v>83</v>
      </c>
      <c r="D50">
        <v>30</v>
      </c>
      <c r="E50" t="s">
        <v>67</v>
      </c>
      <c r="F50" t="s">
        <v>68</v>
      </c>
      <c r="G50" t="s">
        <v>121</v>
      </c>
      <c r="H50" s="1">
        <v>46419</v>
      </c>
      <c r="I50">
        <v>900</v>
      </c>
      <c r="J50" s="1" t="s">
        <v>538</v>
      </c>
      <c r="K50" t="str">
        <f t="shared" si="0"/>
        <v>Non-Expired</v>
      </c>
    </row>
    <row r="51" spans="1:11" x14ac:dyDescent="0.3">
      <c r="A51" s="2">
        <v>45839</v>
      </c>
      <c r="B51" t="s">
        <v>97</v>
      </c>
      <c r="C51" t="s">
        <v>32</v>
      </c>
      <c r="D51">
        <v>6</v>
      </c>
      <c r="E51" t="s">
        <v>71</v>
      </c>
      <c r="F51" t="s">
        <v>72</v>
      </c>
      <c r="G51" t="s">
        <v>122</v>
      </c>
      <c r="H51" s="1">
        <v>46478</v>
      </c>
      <c r="I51">
        <v>240</v>
      </c>
      <c r="J51" s="1" t="s">
        <v>538</v>
      </c>
      <c r="K51" t="str">
        <f t="shared" si="0"/>
        <v>Non-Expired</v>
      </c>
    </row>
    <row r="52" spans="1:11" x14ac:dyDescent="0.3">
      <c r="A52" s="2">
        <v>45839</v>
      </c>
      <c r="B52" t="s">
        <v>85</v>
      </c>
      <c r="C52" t="s">
        <v>48</v>
      </c>
      <c r="D52">
        <v>15</v>
      </c>
      <c r="E52" t="s">
        <v>75</v>
      </c>
      <c r="F52" t="s">
        <v>16</v>
      </c>
      <c r="G52" t="s">
        <v>123</v>
      </c>
      <c r="H52" s="1">
        <v>46143</v>
      </c>
      <c r="I52">
        <v>750</v>
      </c>
      <c r="J52" s="1" t="s">
        <v>538</v>
      </c>
      <c r="K52" t="str">
        <f t="shared" si="0"/>
        <v>Non-Expired</v>
      </c>
    </row>
    <row r="53" spans="1:11" x14ac:dyDescent="0.3">
      <c r="A53" s="2">
        <v>45839</v>
      </c>
      <c r="B53" t="s">
        <v>58</v>
      </c>
      <c r="C53" t="s">
        <v>74</v>
      </c>
      <c r="D53">
        <v>25</v>
      </c>
      <c r="E53" t="s">
        <v>11</v>
      </c>
      <c r="F53" t="s">
        <v>12</v>
      </c>
      <c r="G53" t="s">
        <v>124</v>
      </c>
      <c r="H53" s="1">
        <v>46357</v>
      </c>
      <c r="I53">
        <v>50</v>
      </c>
      <c r="J53" s="1" t="s">
        <v>538</v>
      </c>
      <c r="K53" t="str">
        <f t="shared" si="0"/>
        <v>Non-Expired</v>
      </c>
    </row>
    <row r="54" spans="1:11" x14ac:dyDescent="0.3">
      <c r="A54" s="2">
        <v>45839</v>
      </c>
      <c r="B54" t="s">
        <v>58</v>
      </c>
      <c r="C54" t="s">
        <v>125</v>
      </c>
      <c r="D54">
        <v>29</v>
      </c>
      <c r="E54" t="s">
        <v>15</v>
      </c>
      <c r="F54" t="s">
        <v>16</v>
      </c>
      <c r="G54" t="s">
        <v>126</v>
      </c>
      <c r="H54" s="1">
        <v>46174</v>
      </c>
      <c r="I54">
        <v>87</v>
      </c>
      <c r="J54" s="1" t="s">
        <v>538</v>
      </c>
      <c r="K54" t="str">
        <f t="shared" si="0"/>
        <v>Non-Expired</v>
      </c>
    </row>
    <row r="55" spans="1:11" x14ac:dyDescent="0.3">
      <c r="A55" s="2">
        <v>45839</v>
      </c>
      <c r="B55" t="s">
        <v>97</v>
      </c>
      <c r="C55" t="s">
        <v>74</v>
      </c>
      <c r="D55">
        <v>1</v>
      </c>
      <c r="E55" t="s">
        <v>20</v>
      </c>
      <c r="F55" t="s">
        <v>21</v>
      </c>
      <c r="G55" t="s">
        <v>127</v>
      </c>
      <c r="H55" s="1">
        <v>46296</v>
      </c>
      <c r="I55">
        <v>8</v>
      </c>
      <c r="J55" s="1" t="s">
        <v>538</v>
      </c>
      <c r="K55" t="str">
        <f t="shared" si="0"/>
        <v>Non-Expired</v>
      </c>
    </row>
    <row r="56" spans="1:11" x14ac:dyDescent="0.3">
      <c r="A56" s="2">
        <v>45839</v>
      </c>
      <c r="B56" t="s">
        <v>47</v>
      </c>
      <c r="C56" t="s">
        <v>128</v>
      </c>
      <c r="D56">
        <v>20</v>
      </c>
      <c r="E56" t="s">
        <v>25</v>
      </c>
      <c r="F56" t="s">
        <v>26</v>
      </c>
      <c r="G56" t="s">
        <v>129</v>
      </c>
      <c r="H56" s="1">
        <v>45474</v>
      </c>
      <c r="I56">
        <v>60</v>
      </c>
      <c r="J56" s="1" t="s">
        <v>538</v>
      </c>
      <c r="K56" t="str">
        <f t="shared" si="0"/>
        <v>Expired</v>
      </c>
    </row>
    <row r="57" spans="1:11" x14ac:dyDescent="0.3">
      <c r="A57" s="2">
        <v>45839</v>
      </c>
      <c r="B57" t="s">
        <v>97</v>
      </c>
      <c r="C57" t="s">
        <v>125</v>
      </c>
      <c r="D57">
        <v>9</v>
      </c>
      <c r="E57" t="s">
        <v>28</v>
      </c>
      <c r="F57" t="s">
        <v>29</v>
      </c>
      <c r="G57" t="s">
        <v>130</v>
      </c>
      <c r="H57" s="1">
        <v>46327</v>
      </c>
      <c r="I57">
        <v>36</v>
      </c>
      <c r="J57" s="1" t="s">
        <v>538</v>
      </c>
      <c r="K57" t="str">
        <f t="shared" si="0"/>
        <v>Non-Expired</v>
      </c>
    </row>
    <row r="58" spans="1:11" x14ac:dyDescent="0.3">
      <c r="A58" s="2">
        <v>45870</v>
      </c>
      <c r="B58" t="s">
        <v>92</v>
      </c>
      <c r="C58" t="s">
        <v>131</v>
      </c>
      <c r="D58">
        <v>23</v>
      </c>
      <c r="E58" t="s">
        <v>33</v>
      </c>
      <c r="F58" t="s">
        <v>34</v>
      </c>
      <c r="G58" t="s">
        <v>132</v>
      </c>
      <c r="H58" s="1">
        <v>46447</v>
      </c>
      <c r="I58">
        <v>115</v>
      </c>
      <c r="J58" s="1" t="s">
        <v>538</v>
      </c>
      <c r="K58" t="str">
        <f t="shared" si="0"/>
        <v>Non-Expired</v>
      </c>
    </row>
    <row r="59" spans="1:11" x14ac:dyDescent="0.3">
      <c r="A59" s="2">
        <v>45870</v>
      </c>
      <c r="B59" t="s">
        <v>92</v>
      </c>
      <c r="C59" t="s">
        <v>99</v>
      </c>
      <c r="D59">
        <v>17</v>
      </c>
      <c r="E59" t="s">
        <v>36</v>
      </c>
      <c r="F59" t="s">
        <v>37</v>
      </c>
      <c r="G59" t="s">
        <v>133</v>
      </c>
      <c r="H59" s="1">
        <v>46569</v>
      </c>
      <c r="I59">
        <v>102</v>
      </c>
      <c r="J59" s="1" t="s">
        <v>538</v>
      </c>
      <c r="K59" t="str">
        <f t="shared" si="0"/>
        <v>Non-Expired</v>
      </c>
    </row>
    <row r="60" spans="1:11" x14ac:dyDescent="0.3">
      <c r="A60" s="2">
        <v>45870</v>
      </c>
      <c r="B60" t="s">
        <v>9</v>
      </c>
      <c r="C60" t="s">
        <v>125</v>
      </c>
      <c r="D60">
        <v>22</v>
      </c>
      <c r="E60" t="s">
        <v>41</v>
      </c>
      <c r="F60" t="s">
        <v>12</v>
      </c>
      <c r="G60" t="s">
        <v>134</v>
      </c>
      <c r="H60" s="1">
        <v>46327</v>
      </c>
      <c r="I60">
        <v>88</v>
      </c>
      <c r="J60" s="1" t="s">
        <v>538</v>
      </c>
      <c r="K60" t="str">
        <f t="shared" si="0"/>
        <v>Non-Expired</v>
      </c>
    </row>
    <row r="61" spans="1:11" x14ac:dyDescent="0.3">
      <c r="A61" s="2">
        <v>45870</v>
      </c>
      <c r="B61" t="s">
        <v>58</v>
      </c>
      <c r="C61" t="s">
        <v>66</v>
      </c>
      <c r="D61">
        <v>2</v>
      </c>
      <c r="E61" t="s">
        <v>45</v>
      </c>
      <c r="F61" t="s">
        <v>16</v>
      </c>
      <c r="G61" t="s">
        <v>135</v>
      </c>
      <c r="H61" s="1">
        <v>46235</v>
      </c>
      <c r="I61">
        <v>20</v>
      </c>
      <c r="J61" s="1" t="s">
        <v>538</v>
      </c>
      <c r="K61" t="str">
        <f t="shared" si="0"/>
        <v>Non-Expired</v>
      </c>
    </row>
    <row r="62" spans="1:11" x14ac:dyDescent="0.3">
      <c r="A62" s="2">
        <v>45870</v>
      </c>
      <c r="B62" t="s">
        <v>43</v>
      </c>
      <c r="C62" t="s">
        <v>66</v>
      </c>
      <c r="D62">
        <v>17</v>
      </c>
      <c r="E62" t="s">
        <v>49</v>
      </c>
      <c r="F62" t="s">
        <v>50</v>
      </c>
      <c r="G62" t="s">
        <v>136</v>
      </c>
      <c r="H62" s="1">
        <v>46478</v>
      </c>
      <c r="I62">
        <v>85</v>
      </c>
      <c r="J62" s="1" t="s">
        <v>538</v>
      </c>
      <c r="K62" t="str">
        <f t="shared" si="0"/>
        <v>Non-Expired</v>
      </c>
    </row>
    <row r="63" spans="1:11" x14ac:dyDescent="0.3">
      <c r="A63" s="2">
        <v>45870</v>
      </c>
      <c r="B63" t="s">
        <v>65</v>
      </c>
      <c r="C63" t="s">
        <v>107</v>
      </c>
      <c r="D63">
        <v>25</v>
      </c>
      <c r="E63" t="s">
        <v>52</v>
      </c>
      <c r="F63" t="s">
        <v>53</v>
      </c>
      <c r="G63" t="s">
        <v>137</v>
      </c>
      <c r="H63" s="1">
        <v>46204</v>
      </c>
      <c r="I63">
        <v>50</v>
      </c>
      <c r="J63" s="1" t="s">
        <v>538</v>
      </c>
      <c r="K63" t="str">
        <f t="shared" si="0"/>
        <v>Non-Expired</v>
      </c>
    </row>
    <row r="64" spans="1:11" x14ac:dyDescent="0.3">
      <c r="A64" s="2">
        <v>45870</v>
      </c>
      <c r="B64" t="s">
        <v>47</v>
      </c>
      <c r="C64" t="s">
        <v>66</v>
      </c>
      <c r="D64">
        <v>24</v>
      </c>
      <c r="E64" t="s">
        <v>56</v>
      </c>
      <c r="F64" t="s">
        <v>53</v>
      </c>
      <c r="G64" t="s">
        <v>138</v>
      </c>
      <c r="H64" s="1">
        <v>46113</v>
      </c>
      <c r="I64">
        <v>240</v>
      </c>
      <c r="J64" s="1" t="s">
        <v>538</v>
      </c>
      <c r="K64" t="str">
        <f t="shared" si="0"/>
        <v>Non-Expired</v>
      </c>
    </row>
    <row r="65" spans="1:11" x14ac:dyDescent="0.3">
      <c r="A65" s="2">
        <v>45870</v>
      </c>
      <c r="B65" t="s">
        <v>43</v>
      </c>
      <c r="C65" t="s">
        <v>139</v>
      </c>
      <c r="D65">
        <v>30</v>
      </c>
      <c r="E65" t="s">
        <v>60</v>
      </c>
      <c r="F65" t="s">
        <v>61</v>
      </c>
      <c r="G65" t="s">
        <v>140</v>
      </c>
      <c r="H65" s="1">
        <v>46296</v>
      </c>
      <c r="I65">
        <v>3600</v>
      </c>
      <c r="J65" s="1" t="s">
        <v>538</v>
      </c>
      <c r="K65" t="str">
        <f t="shared" si="0"/>
        <v>Non-Expired</v>
      </c>
    </row>
    <row r="66" spans="1:11" x14ac:dyDescent="0.3">
      <c r="A66" s="2">
        <v>45901</v>
      </c>
      <c r="B66" t="s">
        <v>9</v>
      </c>
      <c r="C66" t="s">
        <v>14</v>
      </c>
      <c r="D66">
        <v>27</v>
      </c>
      <c r="E66" t="s">
        <v>63</v>
      </c>
      <c r="F66" t="s">
        <v>50</v>
      </c>
      <c r="G66" t="s">
        <v>141</v>
      </c>
      <c r="H66" s="1">
        <v>46692</v>
      </c>
      <c r="I66">
        <v>540</v>
      </c>
      <c r="J66" s="1" t="s">
        <v>538</v>
      </c>
      <c r="K66" t="str">
        <f t="shared" si="0"/>
        <v>Non-Expired</v>
      </c>
    </row>
    <row r="67" spans="1:11" x14ac:dyDescent="0.3">
      <c r="A67" s="2">
        <v>45901</v>
      </c>
      <c r="B67" t="s">
        <v>9</v>
      </c>
      <c r="C67" t="s">
        <v>107</v>
      </c>
      <c r="D67">
        <v>4</v>
      </c>
      <c r="E67" t="s">
        <v>67</v>
      </c>
      <c r="F67" t="s">
        <v>68</v>
      </c>
      <c r="G67" t="s">
        <v>142</v>
      </c>
      <c r="H67" s="1">
        <v>46357</v>
      </c>
      <c r="I67">
        <v>120</v>
      </c>
      <c r="J67" s="1" t="s">
        <v>538</v>
      </c>
      <c r="K67" t="str">
        <f t="shared" ref="K67:K130" si="1">IF(H67&lt;=DATE(2025,5,5),"Expired","Non-Expired")</f>
        <v>Non-Expired</v>
      </c>
    </row>
    <row r="68" spans="1:11" x14ac:dyDescent="0.3">
      <c r="A68" s="2">
        <v>45901</v>
      </c>
      <c r="B68" t="s">
        <v>39</v>
      </c>
      <c r="C68" t="s">
        <v>59</v>
      </c>
      <c r="D68">
        <v>27</v>
      </c>
      <c r="E68" t="s">
        <v>71</v>
      </c>
      <c r="F68" t="s">
        <v>72</v>
      </c>
      <c r="G68" t="s">
        <v>143</v>
      </c>
      <c r="H68" s="1">
        <v>45047</v>
      </c>
      <c r="I68">
        <v>1080</v>
      </c>
      <c r="J68" s="1" t="s">
        <v>538</v>
      </c>
      <c r="K68" t="str">
        <f t="shared" si="1"/>
        <v>Expired</v>
      </c>
    </row>
    <row r="69" spans="1:11" x14ac:dyDescent="0.3">
      <c r="A69" s="2">
        <v>45901</v>
      </c>
      <c r="B69" t="s">
        <v>9</v>
      </c>
      <c r="C69" t="s">
        <v>107</v>
      </c>
      <c r="D69">
        <v>5</v>
      </c>
      <c r="E69" t="s">
        <v>75</v>
      </c>
      <c r="F69" t="s">
        <v>16</v>
      </c>
      <c r="G69" t="s">
        <v>144</v>
      </c>
      <c r="H69" s="1">
        <v>46600</v>
      </c>
      <c r="I69">
        <v>250</v>
      </c>
      <c r="J69" s="1" t="s">
        <v>538</v>
      </c>
      <c r="K69" t="str">
        <f t="shared" si="1"/>
        <v>Non-Expired</v>
      </c>
    </row>
    <row r="70" spans="1:11" x14ac:dyDescent="0.3">
      <c r="A70" s="2">
        <v>45901</v>
      </c>
      <c r="B70" t="s">
        <v>97</v>
      </c>
      <c r="C70" t="s">
        <v>74</v>
      </c>
      <c r="D70">
        <v>28</v>
      </c>
      <c r="E70" t="s">
        <v>11</v>
      </c>
      <c r="F70" t="s">
        <v>12</v>
      </c>
      <c r="G70" t="s">
        <v>145</v>
      </c>
      <c r="H70" s="1">
        <v>46235</v>
      </c>
      <c r="I70">
        <v>56</v>
      </c>
      <c r="J70" s="1" t="s">
        <v>538</v>
      </c>
      <c r="K70" t="str">
        <f t="shared" si="1"/>
        <v>Non-Expired</v>
      </c>
    </row>
    <row r="71" spans="1:11" x14ac:dyDescent="0.3">
      <c r="A71" s="2">
        <v>45901</v>
      </c>
      <c r="B71" t="s">
        <v>39</v>
      </c>
      <c r="C71" t="s">
        <v>99</v>
      </c>
      <c r="D71">
        <v>25</v>
      </c>
      <c r="E71" t="s">
        <v>15</v>
      </c>
      <c r="F71" t="s">
        <v>16</v>
      </c>
      <c r="G71" t="s">
        <v>79</v>
      </c>
      <c r="H71" s="1">
        <v>46722</v>
      </c>
      <c r="I71">
        <v>75</v>
      </c>
      <c r="J71" s="1" t="s">
        <v>538</v>
      </c>
      <c r="K71" t="str">
        <f t="shared" si="1"/>
        <v>Non-Expired</v>
      </c>
    </row>
    <row r="72" spans="1:11" x14ac:dyDescent="0.3">
      <c r="A72" s="2">
        <v>45901</v>
      </c>
      <c r="B72" t="s">
        <v>58</v>
      </c>
      <c r="C72" t="s">
        <v>24</v>
      </c>
      <c r="D72">
        <v>2</v>
      </c>
      <c r="E72" t="s">
        <v>20</v>
      </c>
      <c r="F72" t="s">
        <v>21</v>
      </c>
      <c r="G72" t="s">
        <v>146</v>
      </c>
      <c r="H72" s="1">
        <v>46266</v>
      </c>
      <c r="I72">
        <v>16</v>
      </c>
      <c r="J72" s="1" t="s">
        <v>538</v>
      </c>
      <c r="K72" t="str">
        <f t="shared" si="1"/>
        <v>Non-Expired</v>
      </c>
    </row>
    <row r="73" spans="1:11" x14ac:dyDescent="0.3">
      <c r="A73" s="2">
        <v>45901</v>
      </c>
      <c r="B73" t="s">
        <v>9</v>
      </c>
      <c r="C73" t="s">
        <v>112</v>
      </c>
      <c r="D73">
        <v>23</v>
      </c>
      <c r="E73" t="s">
        <v>25</v>
      </c>
      <c r="F73" t="s">
        <v>26</v>
      </c>
      <c r="G73" t="s">
        <v>147</v>
      </c>
      <c r="H73" s="1">
        <v>46722</v>
      </c>
      <c r="I73">
        <v>69</v>
      </c>
      <c r="J73" s="1" t="s">
        <v>538</v>
      </c>
      <c r="K73" t="str">
        <f t="shared" si="1"/>
        <v>Non-Expired</v>
      </c>
    </row>
    <row r="74" spans="1:11" x14ac:dyDescent="0.3">
      <c r="A74" s="2">
        <v>45931</v>
      </c>
      <c r="B74" t="s">
        <v>31</v>
      </c>
      <c r="C74" t="s">
        <v>139</v>
      </c>
      <c r="D74">
        <v>25</v>
      </c>
      <c r="E74" t="s">
        <v>28</v>
      </c>
      <c r="F74" t="s">
        <v>29</v>
      </c>
      <c r="G74" t="s">
        <v>148</v>
      </c>
      <c r="H74" s="1">
        <v>46266</v>
      </c>
      <c r="I74">
        <v>100</v>
      </c>
      <c r="J74" s="1" t="s">
        <v>538</v>
      </c>
      <c r="K74" t="str">
        <f t="shared" si="1"/>
        <v>Non-Expired</v>
      </c>
    </row>
    <row r="75" spans="1:11" x14ac:dyDescent="0.3">
      <c r="A75" s="2">
        <v>45931</v>
      </c>
      <c r="B75" t="s">
        <v>31</v>
      </c>
      <c r="C75" t="s">
        <v>149</v>
      </c>
      <c r="D75">
        <v>20</v>
      </c>
      <c r="E75" t="s">
        <v>33</v>
      </c>
      <c r="F75" t="s">
        <v>34</v>
      </c>
      <c r="G75" t="s">
        <v>150</v>
      </c>
      <c r="H75" s="1">
        <v>45108</v>
      </c>
      <c r="I75">
        <v>100</v>
      </c>
      <c r="J75" s="1" t="s">
        <v>538</v>
      </c>
      <c r="K75" t="str">
        <f t="shared" si="1"/>
        <v>Expired</v>
      </c>
    </row>
    <row r="76" spans="1:11" x14ac:dyDescent="0.3">
      <c r="A76" s="2">
        <v>45931</v>
      </c>
      <c r="B76" t="s">
        <v>31</v>
      </c>
      <c r="C76" t="s">
        <v>119</v>
      </c>
      <c r="D76">
        <v>8</v>
      </c>
      <c r="E76" t="s">
        <v>36</v>
      </c>
      <c r="F76" t="s">
        <v>37</v>
      </c>
      <c r="G76" t="s">
        <v>151</v>
      </c>
      <c r="H76" s="1">
        <v>46174</v>
      </c>
      <c r="I76">
        <v>48</v>
      </c>
      <c r="J76" s="1" t="s">
        <v>538</v>
      </c>
      <c r="K76" t="str">
        <f t="shared" si="1"/>
        <v>Non-Expired</v>
      </c>
    </row>
    <row r="77" spans="1:11" x14ac:dyDescent="0.3">
      <c r="A77" s="2">
        <v>45931</v>
      </c>
      <c r="B77" t="s">
        <v>9</v>
      </c>
      <c r="C77" t="s">
        <v>99</v>
      </c>
      <c r="D77">
        <v>12</v>
      </c>
      <c r="E77" t="s">
        <v>41</v>
      </c>
      <c r="F77" t="s">
        <v>12</v>
      </c>
      <c r="G77" t="s">
        <v>152</v>
      </c>
      <c r="H77" s="1">
        <v>46174</v>
      </c>
      <c r="I77">
        <v>48</v>
      </c>
      <c r="J77" s="1" t="s">
        <v>538</v>
      </c>
      <c r="K77" t="str">
        <f t="shared" si="1"/>
        <v>Non-Expired</v>
      </c>
    </row>
    <row r="78" spans="1:11" x14ac:dyDescent="0.3">
      <c r="A78" s="2">
        <v>45931</v>
      </c>
      <c r="B78" t="s">
        <v>58</v>
      </c>
      <c r="C78" t="s">
        <v>99</v>
      </c>
      <c r="D78">
        <v>14</v>
      </c>
      <c r="E78" t="s">
        <v>45</v>
      </c>
      <c r="F78" t="s">
        <v>16</v>
      </c>
      <c r="G78" t="s">
        <v>153</v>
      </c>
      <c r="H78" s="1">
        <v>46631</v>
      </c>
      <c r="I78">
        <v>140</v>
      </c>
      <c r="J78" s="1" t="s">
        <v>538</v>
      </c>
      <c r="K78" t="str">
        <f t="shared" si="1"/>
        <v>Non-Expired</v>
      </c>
    </row>
    <row r="79" spans="1:11" x14ac:dyDescent="0.3">
      <c r="A79" s="2">
        <v>45931</v>
      </c>
      <c r="B79" t="s">
        <v>9</v>
      </c>
      <c r="C79" t="s">
        <v>19</v>
      </c>
      <c r="D79">
        <v>17</v>
      </c>
      <c r="E79" t="s">
        <v>49</v>
      </c>
      <c r="F79" t="s">
        <v>50</v>
      </c>
      <c r="G79" t="s">
        <v>93</v>
      </c>
      <c r="H79" s="1">
        <v>46539</v>
      </c>
      <c r="I79">
        <v>85</v>
      </c>
      <c r="J79" s="1" t="s">
        <v>538</v>
      </c>
      <c r="K79" t="str">
        <f t="shared" si="1"/>
        <v>Non-Expired</v>
      </c>
    </row>
    <row r="80" spans="1:11" x14ac:dyDescent="0.3">
      <c r="A80" s="2">
        <v>45931</v>
      </c>
      <c r="B80" t="s">
        <v>90</v>
      </c>
      <c r="C80" t="s">
        <v>154</v>
      </c>
      <c r="D80">
        <v>16</v>
      </c>
      <c r="E80" t="s">
        <v>52</v>
      </c>
      <c r="F80" t="s">
        <v>53</v>
      </c>
      <c r="G80" t="s">
        <v>155</v>
      </c>
      <c r="H80" s="1">
        <v>46327</v>
      </c>
      <c r="I80">
        <v>32</v>
      </c>
      <c r="J80" s="1" t="s">
        <v>538</v>
      </c>
      <c r="K80" t="str">
        <f t="shared" si="1"/>
        <v>Non-Expired</v>
      </c>
    </row>
    <row r="81" spans="1:11" x14ac:dyDescent="0.3">
      <c r="A81" s="2">
        <v>45931</v>
      </c>
      <c r="B81" t="s">
        <v>90</v>
      </c>
      <c r="C81" t="s">
        <v>66</v>
      </c>
      <c r="D81">
        <v>15</v>
      </c>
      <c r="E81" t="s">
        <v>56</v>
      </c>
      <c r="F81" t="s">
        <v>53</v>
      </c>
      <c r="G81" t="s">
        <v>156</v>
      </c>
      <c r="H81" s="1">
        <v>46113</v>
      </c>
      <c r="I81">
        <v>150</v>
      </c>
      <c r="J81" s="1" t="s">
        <v>538</v>
      </c>
      <c r="K81" t="str">
        <f t="shared" si="1"/>
        <v>Non-Expired</v>
      </c>
    </row>
    <row r="82" spans="1:11" x14ac:dyDescent="0.3">
      <c r="A82" s="2">
        <v>45962</v>
      </c>
      <c r="B82" t="s">
        <v>31</v>
      </c>
      <c r="C82" t="s">
        <v>88</v>
      </c>
      <c r="D82">
        <v>29</v>
      </c>
      <c r="E82" t="s">
        <v>60</v>
      </c>
      <c r="F82" t="s">
        <v>61</v>
      </c>
      <c r="G82" t="s">
        <v>157</v>
      </c>
      <c r="H82" s="1">
        <v>45231</v>
      </c>
      <c r="I82">
        <v>3480</v>
      </c>
      <c r="J82" s="1" t="s">
        <v>538</v>
      </c>
      <c r="K82" t="str">
        <f t="shared" si="1"/>
        <v>Expired</v>
      </c>
    </row>
    <row r="83" spans="1:11" x14ac:dyDescent="0.3">
      <c r="A83" s="2">
        <v>45962</v>
      </c>
      <c r="B83" t="s">
        <v>18</v>
      </c>
      <c r="C83" t="s">
        <v>55</v>
      </c>
      <c r="D83">
        <v>14</v>
      </c>
      <c r="E83" t="s">
        <v>63</v>
      </c>
      <c r="F83" t="s">
        <v>50</v>
      </c>
      <c r="G83" t="s">
        <v>158</v>
      </c>
      <c r="H83" s="1">
        <v>46447</v>
      </c>
      <c r="I83">
        <v>280</v>
      </c>
      <c r="J83" s="1" t="s">
        <v>538</v>
      </c>
      <c r="K83" t="str">
        <f t="shared" si="1"/>
        <v>Non-Expired</v>
      </c>
    </row>
    <row r="84" spans="1:11" x14ac:dyDescent="0.3">
      <c r="A84" s="2">
        <v>45962</v>
      </c>
      <c r="B84" t="s">
        <v>9</v>
      </c>
      <c r="C84" t="s">
        <v>112</v>
      </c>
      <c r="D84">
        <v>20</v>
      </c>
      <c r="E84" t="s">
        <v>67</v>
      </c>
      <c r="F84" t="s">
        <v>68</v>
      </c>
      <c r="G84" t="s">
        <v>159</v>
      </c>
      <c r="H84" s="1">
        <v>46692</v>
      </c>
      <c r="I84">
        <v>600</v>
      </c>
      <c r="J84" s="1" t="s">
        <v>538</v>
      </c>
      <c r="K84" t="str">
        <f t="shared" si="1"/>
        <v>Non-Expired</v>
      </c>
    </row>
    <row r="85" spans="1:11" x14ac:dyDescent="0.3">
      <c r="A85" s="2">
        <v>45962</v>
      </c>
      <c r="B85" t="s">
        <v>90</v>
      </c>
      <c r="C85" t="s">
        <v>78</v>
      </c>
      <c r="D85">
        <v>4</v>
      </c>
      <c r="E85" t="s">
        <v>71</v>
      </c>
      <c r="F85" t="s">
        <v>72</v>
      </c>
      <c r="G85" t="s">
        <v>160</v>
      </c>
      <c r="H85" s="1">
        <v>46508</v>
      </c>
      <c r="I85">
        <v>160</v>
      </c>
      <c r="J85" s="1" t="s">
        <v>538</v>
      </c>
      <c r="K85" t="str">
        <f t="shared" si="1"/>
        <v>Non-Expired</v>
      </c>
    </row>
    <row r="86" spans="1:11" x14ac:dyDescent="0.3">
      <c r="A86" s="2">
        <v>45962</v>
      </c>
      <c r="B86" t="s">
        <v>9</v>
      </c>
      <c r="C86" t="s">
        <v>101</v>
      </c>
      <c r="D86">
        <v>4</v>
      </c>
      <c r="E86" t="s">
        <v>75</v>
      </c>
      <c r="F86" t="s">
        <v>16</v>
      </c>
      <c r="G86" t="s">
        <v>104</v>
      </c>
      <c r="H86" s="1">
        <v>46419</v>
      </c>
      <c r="I86">
        <v>200</v>
      </c>
      <c r="J86" s="1" t="s">
        <v>538</v>
      </c>
      <c r="K86" t="str">
        <f t="shared" si="1"/>
        <v>Non-Expired</v>
      </c>
    </row>
    <row r="87" spans="1:11" x14ac:dyDescent="0.3">
      <c r="A87" s="2">
        <v>45962</v>
      </c>
      <c r="B87" t="s">
        <v>9</v>
      </c>
      <c r="C87" t="s">
        <v>19</v>
      </c>
      <c r="D87">
        <v>10</v>
      </c>
      <c r="E87" t="s">
        <v>11</v>
      </c>
      <c r="F87" t="s">
        <v>12</v>
      </c>
      <c r="G87" t="s">
        <v>161</v>
      </c>
      <c r="H87" s="1">
        <v>46722</v>
      </c>
      <c r="I87">
        <v>20</v>
      </c>
      <c r="J87" s="1" t="s">
        <v>538</v>
      </c>
      <c r="K87" t="str">
        <f t="shared" si="1"/>
        <v>Non-Expired</v>
      </c>
    </row>
    <row r="88" spans="1:11" x14ac:dyDescent="0.3">
      <c r="A88" s="2">
        <v>45962</v>
      </c>
      <c r="B88" t="s">
        <v>97</v>
      </c>
      <c r="C88" t="s">
        <v>162</v>
      </c>
      <c r="D88">
        <v>16</v>
      </c>
      <c r="E88" t="s">
        <v>15</v>
      </c>
      <c r="F88" t="s">
        <v>16</v>
      </c>
      <c r="G88" t="s">
        <v>163</v>
      </c>
      <c r="H88" s="1">
        <v>46357</v>
      </c>
      <c r="I88">
        <v>48</v>
      </c>
      <c r="J88" s="1" t="s">
        <v>538</v>
      </c>
      <c r="K88" t="str">
        <f t="shared" si="1"/>
        <v>Non-Expired</v>
      </c>
    </row>
    <row r="89" spans="1:11" x14ac:dyDescent="0.3">
      <c r="A89" s="2">
        <v>45962</v>
      </c>
      <c r="B89" t="s">
        <v>9</v>
      </c>
      <c r="C89" t="s">
        <v>162</v>
      </c>
      <c r="D89">
        <v>16</v>
      </c>
      <c r="E89" t="s">
        <v>20</v>
      </c>
      <c r="F89" t="s">
        <v>21</v>
      </c>
      <c r="G89" t="s">
        <v>127</v>
      </c>
      <c r="H89" s="1">
        <v>46447</v>
      </c>
      <c r="I89">
        <v>128</v>
      </c>
      <c r="J89" s="1" t="s">
        <v>538</v>
      </c>
      <c r="K89" t="str">
        <f t="shared" si="1"/>
        <v>Non-Expired</v>
      </c>
    </row>
    <row r="90" spans="1:11" x14ac:dyDescent="0.3">
      <c r="A90" s="2">
        <v>45992</v>
      </c>
      <c r="B90" t="s">
        <v>65</v>
      </c>
      <c r="C90" t="s">
        <v>125</v>
      </c>
      <c r="D90">
        <v>4</v>
      </c>
      <c r="E90" t="s">
        <v>25</v>
      </c>
      <c r="F90" t="s">
        <v>26</v>
      </c>
      <c r="G90" t="s">
        <v>164</v>
      </c>
      <c r="H90" s="1">
        <v>46204</v>
      </c>
      <c r="I90">
        <v>12</v>
      </c>
      <c r="J90" s="1" t="s">
        <v>538</v>
      </c>
      <c r="K90" t="str">
        <f t="shared" si="1"/>
        <v>Non-Expired</v>
      </c>
    </row>
    <row r="91" spans="1:11" x14ac:dyDescent="0.3">
      <c r="A91" s="2">
        <v>45992</v>
      </c>
      <c r="B91" t="s">
        <v>43</v>
      </c>
      <c r="C91" t="s">
        <v>24</v>
      </c>
      <c r="D91">
        <v>9</v>
      </c>
      <c r="E91" t="s">
        <v>28</v>
      </c>
      <c r="F91" t="s">
        <v>29</v>
      </c>
      <c r="G91" t="s">
        <v>165</v>
      </c>
      <c r="H91" s="1">
        <v>46753</v>
      </c>
      <c r="I91">
        <v>36</v>
      </c>
      <c r="J91" s="1" t="s">
        <v>538</v>
      </c>
      <c r="K91" t="str">
        <f t="shared" si="1"/>
        <v>Non-Expired</v>
      </c>
    </row>
    <row r="92" spans="1:11" x14ac:dyDescent="0.3">
      <c r="A92" s="2">
        <v>45992</v>
      </c>
      <c r="B92" t="s">
        <v>9</v>
      </c>
      <c r="C92" t="s">
        <v>107</v>
      </c>
      <c r="D92">
        <v>12</v>
      </c>
      <c r="E92" t="s">
        <v>33</v>
      </c>
      <c r="F92" t="s">
        <v>34</v>
      </c>
      <c r="G92" t="s">
        <v>35</v>
      </c>
      <c r="H92" s="1">
        <v>46388</v>
      </c>
      <c r="I92">
        <v>60</v>
      </c>
      <c r="J92" s="1" t="s">
        <v>538</v>
      </c>
      <c r="K92" t="str">
        <f t="shared" si="1"/>
        <v>Non-Expired</v>
      </c>
    </row>
    <row r="93" spans="1:11" x14ac:dyDescent="0.3">
      <c r="A93" s="2">
        <v>45992</v>
      </c>
      <c r="B93" t="s">
        <v>31</v>
      </c>
      <c r="C93" t="s">
        <v>103</v>
      </c>
      <c r="D93">
        <v>9</v>
      </c>
      <c r="E93" t="s">
        <v>36</v>
      </c>
      <c r="F93" t="s">
        <v>37</v>
      </c>
      <c r="G93" t="s">
        <v>166</v>
      </c>
      <c r="H93" s="1">
        <v>46296</v>
      </c>
      <c r="I93">
        <v>54</v>
      </c>
      <c r="J93" s="1" t="s">
        <v>538</v>
      </c>
      <c r="K93" t="str">
        <f t="shared" si="1"/>
        <v>Non-Expired</v>
      </c>
    </row>
    <row r="94" spans="1:11" x14ac:dyDescent="0.3">
      <c r="A94" s="2">
        <v>45992</v>
      </c>
      <c r="B94" t="s">
        <v>18</v>
      </c>
      <c r="C94" t="s">
        <v>154</v>
      </c>
      <c r="D94">
        <v>20</v>
      </c>
      <c r="E94" t="s">
        <v>41</v>
      </c>
      <c r="F94" t="s">
        <v>12</v>
      </c>
      <c r="G94" t="s">
        <v>167</v>
      </c>
      <c r="H94" s="1">
        <v>46296</v>
      </c>
      <c r="I94">
        <v>80</v>
      </c>
      <c r="J94" s="1" t="s">
        <v>538</v>
      </c>
      <c r="K94" t="str">
        <f t="shared" si="1"/>
        <v>Non-Expired</v>
      </c>
    </row>
    <row r="95" spans="1:11" x14ac:dyDescent="0.3">
      <c r="A95" s="2">
        <v>45992</v>
      </c>
      <c r="B95" t="s">
        <v>47</v>
      </c>
      <c r="C95" t="s">
        <v>139</v>
      </c>
      <c r="D95">
        <v>29</v>
      </c>
      <c r="E95" t="s">
        <v>45</v>
      </c>
      <c r="F95" t="s">
        <v>16</v>
      </c>
      <c r="G95" t="s">
        <v>168</v>
      </c>
      <c r="H95" s="1">
        <v>45505</v>
      </c>
      <c r="I95">
        <v>290</v>
      </c>
      <c r="J95" s="1" t="s">
        <v>538</v>
      </c>
      <c r="K95" t="str">
        <f t="shared" si="1"/>
        <v>Expired</v>
      </c>
    </row>
    <row r="96" spans="1:11" x14ac:dyDescent="0.3">
      <c r="A96" s="2">
        <v>45992</v>
      </c>
      <c r="B96" t="s">
        <v>47</v>
      </c>
      <c r="C96" t="s">
        <v>128</v>
      </c>
      <c r="D96">
        <v>20</v>
      </c>
      <c r="E96" t="s">
        <v>49</v>
      </c>
      <c r="F96" t="s">
        <v>50</v>
      </c>
      <c r="G96" t="s">
        <v>169</v>
      </c>
      <c r="H96" s="1">
        <v>46631</v>
      </c>
      <c r="I96">
        <v>100</v>
      </c>
      <c r="J96" s="1" t="s">
        <v>538</v>
      </c>
      <c r="K96" t="str">
        <f t="shared" si="1"/>
        <v>Non-Expired</v>
      </c>
    </row>
    <row r="97" spans="1:11" x14ac:dyDescent="0.3">
      <c r="A97" s="2">
        <v>45992</v>
      </c>
      <c r="B97" t="s">
        <v>97</v>
      </c>
      <c r="C97" t="s">
        <v>170</v>
      </c>
      <c r="D97">
        <v>23</v>
      </c>
      <c r="E97" t="s">
        <v>52</v>
      </c>
      <c r="F97" t="s">
        <v>53</v>
      </c>
      <c r="G97" t="s">
        <v>171</v>
      </c>
      <c r="H97" s="1">
        <v>46478</v>
      </c>
      <c r="I97">
        <v>46</v>
      </c>
      <c r="J97" s="1" t="s">
        <v>538</v>
      </c>
      <c r="K97" t="str">
        <f t="shared" si="1"/>
        <v>Non-Expired</v>
      </c>
    </row>
    <row r="98" spans="1:11" x14ac:dyDescent="0.3">
      <c r="A98" s="3" t="s">
        <v>463</v>
      </c>
      <c r="B98" t="s">
        <v>9</v>
      </c>
      <c r="C98" t="s">
        <v>131</v>
      </c>
      <c r="D98">
        <v>11</v>
      </c>
      <c r="E98" t="s">
        <v>56</v>
      </c>
      <c r="F98" t="s">
        <v>53</v>
      </c>
      <c r="G98" t="s">
        <v>172</v>
      </c>
      <c r="H98" s="1">
        <v>46357</v>
      </c>
      <c r="I98">
        <v>110</v>
      </c>
      <c r="J98" s="1" t="s">
        <v>538</v>
      </c>
      <c r="K98" t="str">
        <f t="shared" si="1"/>
        <v>Non-Expired</v>
      </c>
    </row>
    <row r="99" spans="1:11" x14ac:dyDescent="0.3">
      <c r="A99" s="3" t="s">
        <v>463</v>
      </c>
      <c r="B99" t="s">
        <v>92</v>
      </c>
      <c r="C99" t="s">
        <v>173</v>
      </c>
      <c r="D99">
        <v>25</v>
      </c>
      <c r="E99" t="s">
        <v>60</v>
      </c>
      <c r="F99" t="s">
        <v>61</v>
      </c>
      <c r="G99" t="s">
        <v>96</v>
      </c>
      <c r="H99" s="1">
        <v>46388</v>
      </c>
      <c r="I99">
        <v>3000</v>
      </c>
      <c r="J99" s="1" t="s">
        <v>538</v>
      </c>
      <c r="K99" t="str">
        <f t="shared" si="1"/>
        <v>Non-Expired</v>
      </c>
    </row>
    <row r="100" spans="1:11" x14ac:dyDescent="0.3">
      <c r="A100" s="3" t="s">
        <v>463</v>
      </c>
      <c r="B100" t="s">
        <v>43</v>
      </c>
      <c r="C100" t="s">
        <v>149</v>
      </c>
      <c r="D100">
        <v>29</v>
      </c>
      <c r="E100" t="s">
        <v>63</v>
      </c>
      <c r="F100" t="s">
        <v>50</v>
      </c>
      <c r="G100" t="s">
        <v>174</v>
      </c>
      <c r="H100" s="1">
        <v>46753</v>
      </c>
      <c r="I100">
        <v>580</v>
      </c>
      <c r="J100" s="1" t="s">
        <v>538</v>
      </c>
      <c r="K100" t="str">
        <f t="shared" si="1"/>
        <v>Non-Expired</v>
      </c>
    </row>
    <row r="101" spans="1:11" x14ac:dyDescent="0.3">
      <c r="A101" s="3" t="s">
        <v>463</v>
      </c>
      <c r="B101" t="s">
        <v>39</v>
      </c>
      <c r="C101" t="s">
        <v>173</v>
      </c>
      <c r="D101">
        <v>27</v>
      </c>
      <c r="E101" t="s">
        <v>67</v>
      </c>
      <c r="F101" t="s">
        <v>68</v>
      </c>
      <c r="G101" t="s">
        <v>175</v>
      </c>
      <c r="H101" s="1">
        <v>45992</v>
      </c>
      <c r="I101">
        <v>810</v>
      </c>
      <c r="J101" s="1" t="s">
        <v>538</v>
      </c>
      <c r="K101" t="str">
        <f t="shared" si="1"/>
        <v>Non-Expired</v>
      </c>
    </row>
    <row r="102" spans="1:11" x14ac:dyDescent="0.3">
      <c r="A102" s="3" t="s">
        <v>463</v>
      </c>
      <c r="B102" t="s">
        <v>9</v>
      </c>
      <c r="C102" t="s">
        <v>112</v>
      </c>
      <c r="D102">
        <v>9</v>
      </c>
      <c r="E102" t="s">
        <v>71</v>
      </c>
      <c r="F102" t="s">
        <v>72</v>
      </c>
      <c r="G102" t="s">
        <v>176</v>
      </c>
      <c r="H102" s="1">
        <v>46235</v>
      </c>
      <c r="I102">
        <v>360</v>
      </c>
      <c r="J102" s="1" t="s">
        <v>538</v>
      </c>
      <c r="K102" t="str">
        <f t="shared" si="1"/>
        <v>Non-Expired</v>
      </c>
    </row>
    <row r="103" spans="1:11" x14ac:dyDescent="0.3">
      <c r="A103" s="3" t="s">
        <v>463</v>
      </c>
      <c r="B103" t="s">
        <v>97</v>
      </c>
      <c r="C103" t="s">
        <v>125</v>
      </c>
      <c r="D103">
        <v>12</v>
      </c>
      <c r="E103" t="s">
        <v>75</v>
      </c>
      <c r="F103" t="s">
        <v>16</v>
      </c>
      <c r="G103" t="s">
        <v>76</v>
      </c>
      <c r="H103" s="1">
        <v>46054</v>
      </c>
      <c r="I103">
        <v>600</v>
      </c>
      <c r="J103" s="1" t="s">
        <v>538</v>
      </c>
      <c r="K103" t="str">
        <f t="shared" si="1"/>
        <v>Non-Expired</v>
      </c>
    </row>
    <row r="104" spans="1:11" x14ac:dyDescent="0.3">
      <c r="A104" s="3" t="s">
        <v>463</v>
      </c>
      <c r="B104" t="s">
        <v>97</v>
      </c>
      <c r="C104" t="s">
        <v>19</v>
      </c>
      <c r="D104">
        <v>15</v>
      </c>
      <c r="E104" t="s">
        <v>11</v>
      </c>
      <c r="F104" t="s">
        <v>12</v>
      </c>
      <c r="G104" t="s">
        <v>177</v>
      </c>
      <c r="H104" s="1">
        <v>46296</v>
      </c>
      <c r="I104">
        <v>30</v>
      </c>
      <c r="J104" s="1" t="s">
        <v>538</v>
      </c>
      <c r="K104" t="str">
        <f t="shared" si="1"/>
        <v>Non-Expired</v>
      </c>
    </row>
    <row r="105" spans="1:11" x14ac:dyDescent="0.3">
      <c r="A105" s="3" t="s">
        <v>463</v>
      </c>
      <c r="B105" t="s">
        <v>65</v>
      </c>
      <c r="C105" t="s">
        <v>119</v>
      </c>
      <c r="D105">
        <v>21</v>
      </c>
      <c r="E105" t="s">
        <v>15</v>
      </c>
      <c r="F105" t="s">
        <v>16</v>
      </c>
      <c r="G105" t="s">
        <v>178</v>
      </c>
      <c r="H105" s="1">
        <v>46569</v>
      </c>
      <c r="I105">
        <v>63</v>
      </c>
      <c r="J105" s="1" t="s">
        <v>538</v>
      </c>
      <c r="K105" t="str">
        <f t="shared" si="1"/>
        <v>Non-Expired</v>
      </c>
    </row>
    <row r="106" spans="1:11" x14ac:dyDescent="0.3">
      <c r="A106" s="3" t="s">
        <v>464</v>
      </c>
      <c r="B106" t="s">
        <v>9</v>
      </c>
      <c r="C106" t="s">
        <v>88</v>
      </c>
      <c r="D106">
        <v>15</v>
      </c>
      <c r="E106" t="s">
        <v>20</v>
      </c>
      <c r="F106" t="s">
        <v>21</v>
      </c>
      <c r="G106" t="s">
        <v>179</v>
      </c>
      <c r="H106" s="1">
        <v>46327</v>
      </c>
      <c r="I106">
        <v>120</v>
      </c>
      <c r="J106" s="1" t="s">
        <v>538</v>
      </c>
      <c r="K106" t="str">
        <f t="shared" si="1"/>
        <v>Non-Expired</v>
      </c>
    </row>
    <row r="107" spans="1:11" x14ac:dyDescent="0.3">
      <c r="A107" s="3" t="s">
        <v>464</v>
      </c>
      <c r="B107" t="s">
        <v>18</v>
      </c>
      <c r="C107" t="s">
        <v>125</v>
      </c>
      <c r="D107">
        <v>2</v>
      </c>
      <c r="E107" t="s">
        <v>25</v>
      </c>
      <c r="F107" t="s">
        <v>26</v>
      </c>
      <c r="G107" t="s">
        <v>129</v>
      </c>
      <c r="H107" s="1">
        <v>46539</v>
      </c>
      <c r="I107">
        <v>6</v>
      </c>
      <c r="J107" s="1" t="s">
        <v>538</v>
      </c>
      <c r="K107" t="str">
        <f t="shared" si="1"/>
        <v>Non-Expired</v>
      </c>
    </row>
    <row r="108" spans="1:11" x14ac:dyDescent="0.3">
      <c r="A108" s="3" t="s">
        <v>464</v>
      </c>
      <c r="B108" t="s">
        <v>23</v>
      </c>
      <c r="C108" t="s">
        <v>180</v>
      </c>
      <c r="D108">
        <v>29</v>
      </c>
      <c r="E108" t="s">
        <v>28</v>
      </c>
      <c r="F108" t="s">
        <v>29</v>
      </c>
      <c r="G108" t="s">
        <v>30</v>
      </c>
      <c r="H108" s="1">
        <v>45444</v>
      </c>
      <c r="I108">
        <v>116</v>
      </c>
      <c r="J108" s="1" t="s">
        <v>538</v>
      </c>
      <c r="K108" t="str">
        <f t="shared" si="1"/>
        <v>Expired</v>
      </c>
    </row>
    <row r="109" spans="1:11" x14ac:dyDescent="0.3">
      <c r="A109" s="3" t="s">
        <v>464</v>
      </c>
      <c r="B109" t="s">
        <v>85</v>
      </c>
      <c r="C109" t="s">
        <v>19</v>
      </c>
      <c r="D109">
        <v>25</v>
      </c>
      <c r="E109" t="s">
        <v>33</v>
      </c>
      <c r="F109" t="s">
        <v>34</v>
      </c>
      <c r="G109" t="s">
        <v>181</v>
      </c>
      <c r="H109" s="1">
        <v>46296</v>
      </c>
      <c r="I109">
        <v>125</v>
      </c>
      <c r="J109" s="1" t="s">
        <v>538</v>
      </c>
      <c r="K109" t="str">
        <f t="shared" si="1"/>
        <v>Non-Expired</v>
      </c>
    </row>
    <row r="110" spans="1:11" x14ac:dyDescent="0.3">
      <c r="A110" s="3" t="s">
        <v>464</v>
      </c>
      <c r="B110" t="s">
        <v>43</v>
      </c>
      <c r="C110" t="s">
        <v>70</v>
      </c>
      <c r="D110">
        <v>30</v>
      </c>
      <c r="E110" t="s">
        <v>36</v>
      </c>
      <c r="F110" t="s">
        <v>37</v>
      </c>
      <c r="G110" t="s">
        <v>182</v>
      </c>
      <c r="H110" s="1">
        <v>46174</v>
      </c>
      <c r="I110">
        <v>180</v>
      </c>
      <c r="J110" s="1" t="s">
        <v>538</v>
      </c>
      <c r="K110" t="str">
        <f t="shared" si="1"/>
        <v>Non-Expired</v>
      </c>
    </row>
    <row r="111" spans="1:11" x14ac:dyDescent="0.3">
      <c r="A111" s="3" t="s">
        <v>464</v>
      </c>
      <c r="B111" t="s">
        <v>97</v>
      </c>
      <c r="C111" t="s">
        <v>162</v>
      </c>
      <c r="D111">
        <v>7</v>
      </c>
      <c r="E111" t="s">
        <v>41</v>
      </c>
      <c r="F111" t="s">
        <v>12</v>
      </c>
      <c r="G111" t="s">
        <v>183</v>
      </c>
      <c r="H111" s="1">
        <v>46569</v>
      </c>
      <c r="I111">
        <v>28</v>
      </c>
      <c r="J111" s="1" t="s">
        <v>538</v>
      </c>
      <c r="K111" t="str">
        <f t="shared" si="1"/>
        <v>Non-Expired</v>
      </c>
    </row>
    <row r="112" spans="1:11" x14ac:dyDescent="0.3">
      <c r="A112" s="3" t="s">
        <v>464</v>
      </c>
      <c r="B112" t="s">
        <v>9</v>
      </c>
      <c r="C112" t="s">
        <v>83</v>
      </c>
      <c r="D112">
        <v>19</v>
      </c>
      <c r="E112" t="s">
        <v>45</v>
      </c>
      <c r="F112" t="s">
        <v>16</v>
      </c>
      <c r="G112" t="s">
        <v>184</v>
      </c>
      <c r="H112" s="1">
        <v>46661</v>
      </c>
      <c r="I112">
        <v>190</v>
      </c>
      <c r="J112" s="1" t="s">
        <v>538</v>
      </c>
      <c r="K112" t="str">
        <f t="shared" si="1"/>
        <v>Non-Expired</v>
      </c>
    </row>
    <row r="113" spans="1:11" x14ac:dyDescent="0.3">
      <c r="A113" s="3" t="s">
        <v>464</v>
      </c>
      <c r="B113" t="s">
        <v>85</v>
      </c>
      <c r="C113" t="s">
        <v>14</v>
      </c>
      <c r="D113">
        <v>1</v>
      </c>
      <c r="E113" t="s">
        <v>49</v>
      </c>
      <c r="F113" t="s">
        <v>50</v>
      </c>
      <c r="G113" t="s">
        <v>185</v>
      </c>
      <c r="H113" s="1">
        <v>46631</v>
      </c>
      <c r="I113">
        <v>5</v>
      </c>
      <c r="J113" s="1" t="s">
        <v>538</v>
      </c>
      <c r="K113" t="str">
        <f t="shared" si="1"/>
        <v>Non-Expired</v>
      </c>
    </row>
    <row r="114" spans="1:11" x14ac:dyDescent="0.3">
      <c r="A114" s="3" t="s">
        <v>465</v>
      </c>
      <c r="B114" t="s">
        <v>92</v>
      </c>
      <c r="C114" t="s">
        <v>66</v>
      </c>
      <c r="D114">
        <v>3</v>
      </c>
      <c r="E114" t="s">
        <v>52</v>
      </c>
      <c r="F114" t="s">
        <v>53</v>
      </c>
      <c r="G114" t="s">
        <v>186</v>
      </c>
      <c r="H114" s="1">
        <v>46327</v>
      </c>
      <c r="I114">
        <v>6</v>
      </c>
      <c r="J114" s="1" t="s">
        <v>538</v>
      </c>
      <c r="K114" t="str">
        <f t="shared" si="1"/>
        <v>Non-Expired</v>
      </c>
    </row>
    <row r="115" spans="1:11" x14ac:dyDescent="0.3">
      <c r="A115" s="3" t="s">
        <v>465</v>
      </c>
      <c r="B115" t="s">
        <v>85</v>
      </c>
      <c r="C115" t="s">
        <v>14</v>
      </c>
      <c r="D115">
        <v>17</v>
      </c>
      <c r="E115" t="s">
        <v>56</v>
      </c>
      <c r="F115" t="s">
        <v>53</v>
      </c>
      <c r="G115" t="s">
        <v>187</v>
      </c>
      <c r="H115" s="1">
        <v>46235</v>
      </c>
      <c r="I115">
        <v>170</v>
      </c>
      <c r="J115" s="1" t="s">
        <v>538</v>
      </c>
      <c r="K115" t="str">
        <f t="shared" si="1"/>
        <v>Non-Expired</v>
      </c>
    </row>
    <row r="116" spans="1:11" x14ac:dyDescent="0.3">
      <c r="A116" s="3" t="s">
        <v>465</v>
      </c>
      <c r="B116" t="s">
        <v>31</v>
      </c>
      <c r="C116" t="s">
        <v>10</v>
      </c>
      <c r="D116">
        <v>11</v>
      </c>
      <c r="E116" t="s">
        <v>60</v>
      </c>
      <c r="F116" t="s">
        <v>61</v>
      </c>
      <c r="G116" t="s">
        <v>188</v>
      </c>
      <c r="H116" s="1">
        <v>45689</v>
      </c>
      <c r="I116">
        <v>1320</v>
      </c>
      <c r="J116" s="1" t="s">
        <v>538</v>
      </c>
      <c r="K116" t="str">
        <f t="shared" si="1"/>
        <v>Expired</v>
      </c>
    </row>
    <row r="117" spans="1:11" x14ac:dyDescent="0.3">
      <c r="A117" s="3" t="s">
        <v>465</v>
      </c>
      <c r="B117" t="s">
        <v>97</v>
      </c>
      <c r="C117" t="s">
        <v>88</v>
      </c>
      <c r="D117">
        <v>24</v>
      </c>
      <c r="E117" t="s">
        <v>63</v>
      </c>
      <c r="F117" t="s">
        <v>50</v>
      </c>
      <c r="G117" t="s">
        <v>189</v>
      </c>
      <c r="H117" s="1">
        <v>46631</v>
      </c>
      <c r="I117">
        <v>480</v>
      </c>
      <c r="J117" s="1" t="s">
        <v>538</v>
      </c>
      <c r="K117" t="str">
        <f t="shared" si="1"/>
        <v>Non-Expired</v>
      </c>
    </row>
    <row r="118" spans="1:11" x14ac:dyDescent="0.3">
      <c r="A118" s="3" t="s">
        <v>465</v>
      </c>
      <c r="B118" t="s">
        <v>85</v>
      </c>
      <c r="C118" t="s">
        <v>170</v>
      </c>
      <c r="D118">
        <v>4</v>
      </c>
      <c r="E118" t="s">
        <v>67</v>
      </c>
      <c r="F118" t="s">
        <v>68</v>
      </c>
      <c r="G118" t="s">
        <v>190</v>
      </c>
      <c r="H118" s="1">
        <v>46631</v>
      </c>
      <c r="I118">
        <v>120</v>
      </c>
      <c r="J118" s="1" t="s">
        <v>538</v>
      </c>
      <c r="K118" t="str">
        <f t="shared" si="1"/>
        <v>Non-Expired</v>
      </c>
    </row>
    <row r="119" spans="1:11" x14ac:dyDescent="0.3">
      <c r="A119" s="3" t="s">
        <v>465</v>
      </c>
      <c r="B119" t="s">
        <v>90</v>
      </c>
      <c r="C119" t="s">
        <v>44</v>
      </c>
      <c r="D119">
        <v>20</v>
      </c>
      <c r="E119" t="s">
        <v>71</v>
      </c>
      <c r="F119" t="s">
        <v>72</v>
      </c>
      <c r="G119" t="s">
        <v>160</v>
      </c>
      <c r="H119" s="1">
        <v>46174</v>
      </c>
      <c r="I119">
        <v>800</v>
      </c>
      <c r="J119" s="1" t="s">
        <v>538</v>
      </c>
      <c r="K119" t="str">
        <f t="shared" si="1"/>
        <v>Non-Expired</v>
      </c>
    </row>
    <row r="120" spans="1:11" x14ac:dyDescent="0.3">
      <c r="A120" s="3" t="s">
        <v>465</v>
      </c>
      <c r="B120" t="s">
        <v>47</v>
      </c>
      <c r="C120" t="s">
        <v>55</v>
      </c>
      <c r="D120">
        <v>16</v>
      </c>
      <c r="E120" t="s">
        <v>75</v>
      </c>
      <c r="F120" t="s">
        <v>16</v>
      </c>
      <c r="G120" t="s">
        <v>191</v>
      </c>
      <c r="H120" s="1">
        <v>46661</v>
      </c>
      <c r="I120">
        <v>800</v>
      </c>
      <c r="J120" s="1" t="s">
        <v>538</v>
      </c>
      <c r="K120" t="str">
        <f t="shared" si="1"/>
        <v>Non-Expired</v>
      </c>
    </row>
    <row r="121" spans="1:11" x14ac:dyDescent="0.3">
      <c r="A121" s="3" t="s">
        <v>465</v>
      </c>
      <c r="B121" t="s">
        <v>9</v>
      </c>
      <c r="C121" t="s">
        <v>149</v>
      </c>
      <c r="D121">
        <v>3</v>
      </c>
      <c r="E121" t="s">
        <v>11</v>
      </c>
      <c r="F121" t="s">
        <v>12</v>
      </c>
      <c r="G121" t="s">
        <v>192</v>
      </c>
      <c r="H121" s="1">
        <v>46447</v>
      </c>
      <c r="I121">
        <v>6</v>
      </c>
      <c r="J121" s="1" t="s">
        <v>538</v>
      </c>
      <c r="K121" t="str">
        <f t="shared" si="1"/>
        <v>Non-Expired</v>
      </c>
    </row>
    <row r="122" spans="1:11" x14ac:dyDescent="0.3">
      <c r="A122" s="3" t="s">
        <v>466</v>
      </c>
      <c r="B122" t="s">
        <v>58</v>
      </c>
      <c r="C122" t="s">
        <v>88</v>
      </c>
      <c r="D122">
        <v>29</v>
      </c>
      <c r="E122" t="s">
        <v>15</v>
      </c>
      <c r="F122" t="s">
        <v>16</v>
      </c>
      <c r="G122" t="s">
        <v>193</v>
      </c>
      <c r="H122" s="1">
        <v>46266</v>
      </c>
      <c r="I122">
        <v>87</v>
      </c>
      <c r="J122" s="1" t="s">
        <v>538</v>
      </c>
      <c r="K122" t="str">
        <f t="shared" si="1"/>
        <v>Non-Expired</v>
      </c>
    </row>
    <row r="123" spans="1:11" x14ac:dyDescent="0.3">
      <c r="A123" s="3" t="s">
        <v>466</v>
      </c>
      <c r="B123" t="s">
        <v>23</v>
      </c>
      <c r="C123" t="s">
        <v>74</v>
      </c>
      <c r="D123">
        <v>19</v>
      </c>
      <c r="E123" t="s">
        <v>20</v>
      </c>
      <c r="F123" t="s">
        <v>21</v>
      </c>
      <c r="G123" t="s">
        <v>194</v>
      </c>
      <c r="H123" s="1">
        <v>46419</v>
      </c>
      <c r="I123">
        <v>152</v>
      </c>
      <c r="J123" s="1" t="s">
        <v>538</v>
      </c>
      <c r="K123" t="str">
        <f t="shared" si="1"/>
        <v>Non-Expired</v>
      </c>
    </row>
    <row r="124" spans="1:11" x14ac:dyDescent="0.3">
      <c r="A124" s="3" t="s">
        <v>466</v>
      </c>
      <c r="B124" t="s">
        <v>80</v>
      </c>
      <c r="C124" t="s">
        <v>48</v>
      </c>
      <c r="D124">
        <v>17</v>
      </c>
      <c r="E124" t="s">
        <v>25</v>
      </c>
      <c r="F124" t="s">
        <v>26</v>
      </c>
      <c r="G124" t="s">
        <v>195</v>
      </c>
      <c r="H124" s="1">
        <v>46478</v>
      </c>
      <c r="I124">
        <v>51</v>
      </c>
      <c r="J124" s="1" t="s">
        <v>538</v>
      </c>
      <c r="K124" t="str">
        <f t="shared" si="1"/>
        <v>Non-Expired</v>
      </c>
    </row>
    <row r="125" spans="1:11" x14ac:dyDescent="0.3">
      <c r="A125" s="3" t="s">
        <v>466</v>
      </c>
      <c r="B125" t="s">
        <v>80</v>
      </c>
      <c r="C125" t="s">
        <v>103</v>
      </c>
      <c r="D125">
        <v>7</v>
      </c>
      <c r="E125" t="s">
        <v>28</v>
      </c>
      <c r="F125" t="s">
        <v>29</v>
      </c>
      <c r="G125" t="s">
        <v>196</v>
      </c>
      <c r="H125" s="1">
        <v>46143</v>
      </c>
      <c r="I125">
        <v>28</v>
      </c>
      <c r="J125" s="1" t="s">
        <v>538</v>
      </c>
      <c r="K125" t="str">
        <f t="shared" si="1"/>
        <v>Non-Expired</v>
      </c>
    </row>
    <row r="126" spans="1:11" x14ac:dyDescent="0.3">
      <c r="A126" s="3" t="s">
        <v>466</v>
      </c>
      <c r="B126" t="s">
        <v>23</v>
      </c>
      <c r="C126" t="s">
        <v>88</v>
      </c>
      <c r="D126">
        <v>28</v>
      </c>
      <c r="E126" t="s">
        <v>33</v>
      </c>
      <c r="F126" t="s">
        <v>34</v>
      </c>
      <c r="G126" t="s">
        <v>150</v>
      </c>
      <c r="H126" s="1">
        <v>46266</v>
      </c>
      <c r="I126">
        <v>140</v>
      </c>
      <c r="J126" s="1" t="s">
        <v>538</v>
      </c>
      <c r="K126" t="str">
        <f t="shared" si="1"/>
        <v>Non-Expired</v>
      </c>
    </row>
    <row r="127" spans="1:11" x14ac:dyDescent="0.3">
      <c r="A127" s="3" t="s">
        <v>466</v>
      </c>
      <c r="B127" t="s">
        <v>92</v>
      </c>
      <c r="C127" t="s">
        <v>10</v>
      </c>
      <c r="D127">
        <v>17</v>
      </c>
      <c r="E127" t="s">
        <v>36</v>
      </c>
      <c r="F127" t="s">
        <v>37</v>
      </c>
      <c r="G127" t="s">
        <v>197</v>
      </c>
      <c r="H127" s="1">
        <v>46753</v>
      </c>
      <c r="I127">
        <v>102</v>
      </c>
      <c r="J127" s="1" t="s">
        <v>538</v>
      </c>
      <c r="K127" t="str">
        <f t="shared" si="1"/>
        <v>Non-Expired</v>
      </c>
    </row>
    <row r="128" spans="1:11" x14ac:dyDescent="0.3">
      <c r="A128" s="3" t="s">
        <v>466</v>
      </c>
      <c r="B128" t="s">
        <v>97</v>
      </c>
      <c r="C128" t="s">
        <v>112</v>
      </c>
      <c r="D128">
        <v>2</v>
      </c>
      <c r="E128" t="s">
        <v>41</v>
      </c>
      <c r="F128" t="s">
        <v>12</v>
      </c>
      <c r="G128" t="s">
        <v>198</v>
      </c>
      <c r="H128" s="1">
        <v>46113</v>
      </c>
      <c r="I128">
        <v>8</v>
      </c>
      <c r="J128" s="1" t="s">
        <v>538</v>
      </c>
      <c r="K128" t="str">
        <f t="shared" si="1"/>
        <v>Non-Expired</v>
      </c>
    </row>
    <row r="129" spans="1:11" x14ac:dyDescent="0.3">
      <c r="A129" s="3" t="s">
        <v>466</v>
      </c>
      <c r="B129" t="s">
        <v>92</v>
      </c>
      <c r="C129" t="s">
        <v>128</v>
      </c>
      <c r="D129">
        <v>18</v>
      </c>
      <c r="E129" t="s">
        <v>45</v>
      </c>
      <c r="F129" t="s">
        <v>16</v>
      </c>
      <c r="G129" t="s">
        <v>114</v>
      </c>
      <c r="H129" s="1">
        <v>46388</v>
      </c>
      <c r="I129">
        <v>180</v>
      </c>
      <c r="J129" s="1" t="s">
        <v>538</v>
      </c>
      <c r="K129" t="str">
        <f t="shared" si="1"/>
        <v>Non-Expired</v>
      </c>
    </row>
    <row r="130" spans="1:11" x14ac:dyDescent="0.3">
      <c r="A130" s="3" t="s">
        <v>467</v>
      </c>
      <c r="B130" t="s">
        <v>23</v>
      </c>
      <c r="C130" t="s">
        <v>119</v>
      </c>
      <c r="D130">
        <v>11</v>
      </c>
      <c r="E130" t="s">
        <v>49</v>
      </c>
      <c r="F130" t="s">
        <v>50</v>
      </c>
      <c r="G130" t="s">
        <v>93</v>
      </c>
      <c r="H130" s="1">
        <v>45444</v>
      </c>
      <c r="I130">
        <v>55</v>
      </c>
      <c r="J130" s="1" t="s">
        <v>538</v>
      </c>
      <c r="K130" t="str">
        <f t="shared" si="1"/>
        <v>Expired</v>
      </c>
    </row>
    <row r="131" spans="1:11" x14ac:dyDescent="0.3">
      <c r="A131" s="3" t="s">
        <v>467</v>
      </c>
      <c r="B131" t="s">
        <v>92</v>
      </c>
      <c r="C131" t="s">
        <v>32</v>
      </c>
      <c r="D131">
        <v>25</v>
      </c>
      <c r="E131" t="s">
        <v>52</v>
      </c>
      <c r="F131" t="s">
        <v>53</v>
      </c>
      <c r="G131" t="s">
        <v>199</v>
      </c>
      <c r="H131" s="1">
        <v>46600</v>
      </c>
      <c r="I131">
        <v>50</v>
      </c>
      <c r="J131" s="1" t="s">
        <v>538</v>
      </c>
      <c r="K131" t="str">
        <f t="shared" ref="K131:K194" si="2">IF(H131&lt;=DATE(2025,5,5),"Expired","Non-Expired")</f>
        <v>Non-Expired</v>
      </c>
    </row>
    <row r="132" spans="1:11" x14ac:dyDescent="0.3">
      <c r="A132" s="3" t="s">
        <v>467</v>
      </c>
      <c r="B132" t="s">
        <v>39</v>
      </c>
      <c r="C132" t="s">
        <v>154</v>
      </c>
      <c r="D132">
        <v>18</v>
      </c>
      <c r="E132" t="s">
        <v>56</v>
      </c>
      <c r="F132" t="s">
        <v>53</v>
      </c>
      <c r="G132" t="s">
        <v>57</v>
      </c>
      <c r="H132" s="1">
        <v>46357</v>
      </c>
      <c r="I132">
        <v>180</v>
      </c>
      <c r="J132" s="1" t="s">
        <v>538</v>
      </c>
      <c r="K132" t="str">
        <f t="shared" si="2"/>
        <v>Non-Expired</v>
      </c>
    </row>
    <row r="133" spans="1:11" x14ac:dyDescent="0.3">
      <c r="A133" s="3" t="s">
        <v>467</v>
      </c>
      <c r="B133" t="s">
        <v>47</v>
      </c>
      <c r="C133" t="s">
        <v>55</v>
      </c>
      <c r="D133">
        <v>26</v>
      </c>
      <c r="E133" t="s">
        <v>60</v>
      </c>
      <c r="F133" t="s">
        <v>61</v>
      </c>
      <c r="G133" t="s">
        <v>200</v>
      </c>
      <c r="H133" s="1">
        <v>46327</v>
      </c>
      <c r="I133">
        <v>3120</v>
      </c>
      <c r="J133" s="1" t="s">
        <v>538</v>
      </c>
      <c r="K133" t="str">
        <f t="shared" si="2"/>
        <v>Non-Expired</v>
      </c>
    </row>
    <row r="134" spans="1:11" x14ac:dyDescent="0.3">
      <c r="A134" s="3" t="s">
        <v>467</v>
      </c>
      <c r="B134" t="s">
        <v>65</v>
      </c>
      <c r="C134" t="s">
        <v>44</v>
      </c>
      <c r="D134">
        <v>23</v>
      </c>
      <c r="E134" t="s">
        <v>63</v>
      </c>
      <c r="F134" t="s">
        <v>50</v>
      </c>
      <c r="G134" t="s">
        <v>201</v>
      </c>
      <c r="H134" s="1">
        <v>46419</v>
      </c>
      <c r="I134">
        <v>460</v>
      </c>
      <c r="J134" s="1" t="s">
        <v>538</v>
      </c>
      <c r="K134" t="str">
        <f t="shared" si="2"/>
        <v>Non-Expired</v>
      </c>
    </row>
    <row r="135" spans="1:11" x14ac:dyDescent="0.3">
      <c r="A135" s="3" t="s">
        <v>467</v>
      </c>
      <c r="B135" t="s">
        <v>90</v>
      </c>
      <c r="C135" t="s">
        <v>112</v>
      </c>
      <c r="D135">
        <v>23</v>
      </c>
      <c r="E135" t="s">
        <v>67</v>
      </c>
      <c r="F135" t="s">
        <v>68</v>
      </c>
      <c r="G135" t="s">
        <v>202</v>
      </c>
      <c r="H135" s="1">
        <v>46296</v>
      </c>
      <c r="I135">
        <v>690</v>
      </c>
      <c r="J135" s="1" t="s">
        <v>538</v>
      </c>
      <c r="K135" t="str">
        <f t="shared" si="2"/>
        <v>Non-Expired</v>
      </c>
    </row>
    <row r="136" spans="1:11" x14ac:dyDescent="0.3">
      <c r="A136" s="3" t="s">
        <v>467</v>
      </c>
      <c r="B136" t="s">
        <v>9</v>
      </c>
      <c r="C136" t="s">
        <v>203</v>
      </c>
      <c r="D136">
        <v>20</v>
      </c>
      <c r="E136" t="s">
        <v>71</v>
      </c>
      <c r="F136" t="s">
        <v>72</v>
      </c>
      <c r="G136" t="s">
        <v>204</v>
      </c>
      <c r="H136" s="1">
        <v>46569</v>
      </c>
      <c r="I136">
        <v>800</v>
      </c>
      <c r="J136" s="1" t="s">
        <v>538</v>
      </c>
      <c r="K136" t="str">
        <f t="shared" si="2"/>
        <v>Non-Expired</v>
      </c>
    </row>
    <row r="137" spans="1:11" x14ac:dyDescent="0.3">
      <c r="A137" s="3" t="s">
        <v>467</v>
      </c>
      <c r="B137" t="s">
        <v>43</v>
      </c>
      <c r="C137" t="s">
        <v>10</v>
      </c>
      <c r="D137">
        <v>21</v>
      </c>
      <c r="E137" t="s">
        <v>75</v>
      </c>
      <c r="F137" t="s">
        <v>16</v>
      </c>
      <c r="G137" t="s">
        <v>205</v>
      </c>
      <c r="H137" s="1">
        <v>45778</v>
      </c>
      <c r="I137">
        <v>1050</v>
      </c>
      <c r="J137" s="1" t="s">
        <v>538</v>
      </c>
      <c r="K137" t="str">
        <f t="shared" si="2"/>
        <v>Expired</v>
      </c>
    </row>
    <row r="138" spans="1:11" x14ac:dyDescent="0.3">
      <c r="A138" s="3" t="s">
        <v>468</v>
      </c>
      <c r="B138" t="s">
        <v>90</v>
      </c>
      <c r="C138" t="s">
        <v>101</v>
      </c>
      <c r="D138">
        <v>16</v>
      </c>
      <c r="E138" t="s">
        <v>11</v>
      </c>
      <c r="F138" t="s">
        <v>12</v>
      </c>
      <c r="G138" t="s">
        <v>206</v>
      </c>
      <c r="H138" s="1">
        <v>46143</v>
      </c>
      <c r="I138">
        <v>32</v>
      </c>
      <c r="J138" s="1" t="s">
        <v>538</v>
      </c>
      <c r="K138" t="str">
        <f t="shared" si="2"/>
        <v>Non-Expired</v>
      </c>
    </row>
    <row r="139" spans="1:11" x14ac:dyDescent="0.3">
      <c r="A139" s="3" t="s">
        <v>468</v>
      </c>
      <c r="B139" t="s">
        <v>9</v>
      </c>
      <c r="C139" t="s">
        <v>14</v>
      </c>
      <c r="D139">
        <v>19</v>
      </c>
      <c r="E139" t="s">
        <v>15</v>
      </c>
      <c r="F139" t="s">
        <v>16</v>
      </c>
      <c r="G139" t="s">
        <v>207</v>
      </c>
      <c r="H139" s="1">
        <v>46023</v>
      </c>
      <c r="I139">
        <v>57</v>
      </c>
      <c r="J139" s="1" t="s">
        <v>538</v>
      </c>
      <c r="K139" t="str">
        <f t="shared" si="2"/>
        <v>Non-Expired</v>
      </c>
    </row>
    <row r="140" spans="1:11" x14ac:dyDescent="0.3">
      <c r="A140" s="3" t="s">
        <v>468</v>
      </c>
      <c r="B140" t="s">
        <v>80</v>
      </c>
      <c r="C140" t="s">
        <v>154</v>
      </c>
      <c r="D140">
        <v>23</v>
      </c>
      <c r="E140" t="s">
        <v>20</v>
      </c>
      <c r="F140" t="s">
        <v>21</v>
      </c>
      <c r="G140" t="s">
        <v>208</v>
      </c>
      <c r="H140" s="1">
        <v>46388</v>
      </c>
      <c r="I140">
        <v>184</v>
      </c>
      <c r="J140" s="1" t="s">
        <v>538</v>
      </c>
      <c r="K140" t="str">
        <f t="shared" si="2"/>
        <v>Non-Expired</v>
      </c>
    </row>
    <row r="141" spans="1:11" x14ac:dyDescent="0.3">
      <c r="A141" s="3" t="s">
        <v>468</v>
      </c>
      <c r="B141" t="s">
        <v>9</v>
      </c>
      <c r="C141" t="s">
        <v>119</v>
      </c>
      <c r="D141">
        <v>2</v>
      </c>
      <c r="E141" t="s">
        <v>25</v>
      </c>
      <c r="F141" t="s">
        <v>26</v>
      </c>
      <c r="G141" t="s">
        <v>209</v>
      </c>
      <c r="H141" s="1">
        <v>46266</v>
      </c>
      <c r="I141">
        <v>6</v>
      </c>
      <c r="J141" s="1" t="s">
        <v>538</v>
      </c>
      <c r="K141" t="str">
        <f t="shared" si="2"/>
        <v>Non-Expired</v>
      </c>
    </row>
    <row r="142" spans="1:11" x14ac:dyDescent="0.3">
      <c r="A142" s="3" t="s">
        <v>468</v>
      </c>
      <c r="B142" t="s">
        <v>9</v>
      </c>
      <c r="C142" t="s">
        <v>210</v>
      </c>
      <c r="D142">
        <v>4</v>
      </c>
      <c r="E142" t="s">
        <v>28</v>
      </c>
      <c r="F142" t="s">
        <v>29</v>
      </c>
      <c r="G142" t="s">
        <v>211</v>
      </c>
      <c r="H142" s="1">
        <v>46419</v>
      </c>
      <c r="I142">
        <v>16</v>
      </c>
      <c r="J142" s="1" t="s">
        <v>538</v>
      </c>
      <c r="K142" t="str">
        <f t="shared" si="2"/>
        <v>Non-Expired</v>
      </c>
    </row>
    <row r="143" spans="1:11" x14ac:dyDescent="0.3">
      <c r="A143" s="3" t="s">
        <v>468</v>
      </c>
      <c r="B143" t="s">
        <v>80</v>
      </c>
      <c r="C143" t="s">
        <v>119</v>
      </c>
      <c r="D143">
        <v>9</v>
      </c>
      <c r="E143" t="s">
        <v>33</v>
      </c>
      <c r="F143" t="s">
        <v>34</v>
      </c>
      <c r="G143" t="s">
        <v>212</v>
      </c>
      <c r="H143" s="1">
        <v>46661</v>
      </c>
      <c r="I143">
        <v>45</v>
      </c>
      <c r="J143" s="1" t="s">
        <v>538</v>
      </c>
      <c r="K143" t="str">
        <f t="shared" si="2"/>
        <v>Non-Expired</v>
      </c>
    </row>
    <row r="144" spans="1:11" x14ac:dyDescent="0.3">
      <c r="A144" s="3" t="s">
        <v>468</v>
      </c>
      <c r="B144" t="s">
        <v>65</v>
      </c>
      <c r="C144" t="s">
        <v>131</v>
      </c>
      <c r="D144">
        <v>2</v>
      </c>
      <c r="E144" t="s">
        <v>36</v>
      </c>
      <c r="F144" t="s">
        <v>37</v>
      </c>
      <c r="G144" t="s">
        <v>213</v>
      </c>
      <c r="H144" s="1">
        <v>46235</v>
      </c>
      <c r="I144">
        <v>12</v>
      </c>
      <c r="J144" s="1" t="s">
        <v>538</v>
      </c>
      <c r="K144" t="str">
        <f t="shared" si="2"/>
        <v>Non-Expired</v>
      </c>
    </row>
    <row r="145" spans="1:11" x14ac:dyDescent="0.3">
      <c r="A145" s="3" t="s">
        <v>468</v>
      </c>
      <c r="B145" t="s">
        <v>31</v>
      </c>
      <c r="C145" t="s">
        <v>48</v>
      </c>
      <c r="D145">
        <v>5</v>
      </c>
      <c r="E145" t="s">
        <v>41</v>
      </c>
      <c r="F145" t="s">
        <v>12</v>
      </c>
      <c r="G145" t="s">
        <v>198</v>
      </c>
      <c r="H145" s="1">
        <v>45597</v>
      </c>
      <c r="I145">
        <v>20</v>
      </c>
      <c r="J145" s="1" t="s">
        <v>538</v>
      </c>
      <c r="K145" t="str">
        <f t="shared" si="2"/>
        <v>Expired</v>
      </c>
    </row>
    <row r="146" spans="1:11" x14ac:dyDescent="0.3">
      <c r="A146" s="3" t="s">
        <v>469</v>
      </c>
      <c r="B146" t="s">
        <v>92</v>
      </c>
      <c r="C146" t="s">
        <v>214</v>
      </c>
      <c r="D146">
        <v>17</v>
      </c>
      <c r="E146" t="s">
        <v>45</v>
      </c>
      <c r="F146" t="s">
        <v>16</v>
      </c>
      <c r="G146" t="s">
        <v>215</v>
      </c>
      <c r="H146" s="1">
        <v>46357</v>
      </c>
      <c r="I146">
        <v>170</v>
      </c>
      <c r="J146" s="1" t="s">
        <v>538</v>
      </c>
      <c r="K146" t="str">
        <f t="shared" si="2"/>
        <v>Non-Expired</v>
      </c>
    </row>
    <row r="147" spans="1:11" x14ac:dyDescent="0.3">
      <c r="A147" s="3" t="s">
        <v>469</v>
      </c>
      <c r="B147" t="s">
        <v>97</v>
      </c>
      <c r="C147" t="s">
        <v>59</v>
      </c>
      <c r="D147">
        <v>12</v>
      </c>
      <c r="E147" t="s">
        <v>49</v>
      </c>
      <c r="F147" t="s">
        <v>50</v>
      </c>
      <c r="G147" t="s">
        <v>115</v>
      </c>
      <c r="H147" s="1">
        <v>46388</v>
      </c>
      <c r="I147">
        <v>60</v>
      </c>
      <c r="J147" s="1" t="s">
        <v>538</v>
      </c>
      <c r="K147" t="str">
        <f t="shared" si="2"/>
        <v>Non-Expired</v>
      </c>
    </row>
    <row r="148" spans="1:11" x14ac:dyDescent="0.3">
      <c r="A148" s="3" t="s">
        <v>469</v>
      </c>
      <c r="B148" t="s">
        <v>80</v>
      </c>
      <c r="C148" t="s">
        <v>162</v>
      </c>
      <c r="D148">
        <v>17</v>
      </c>
      <c r="E148" t="s">
        <v>52</v>
      </c>
      <c r="F148" t="s">
        <v>53</v>
      </c>
      <c r="G148" t="s">
        <v>155</v>
      </c>
      <c r="H148" s="1">
        <v>46357</v>
      </c>
      <c r="I148">
        <v>34</v>
      </c>
      <c r="J148" s="1" t="s">
        <v>538</v>
      </c>
      <c r="K148" t="str">
        <f t="shared" si="2"/>
        <v>Non-Expired</v>
      </c>
    </row>
    <row r="149" spans="1:11" x14ac:dyDescent="0.3">
      <c r="A149" s="3" t="s">
        <v>469</v>
      </c>
      <c r="B149" t="s">
        <v>47</v>
      </c>
      <c r="C149" t="s">
        <v>10</v>
      </c>
      <c r="D149">
        <v>16</v>
      </c>
      <c r="E149" t="s">
        <v>56</v>
      </c>
      <c r="F149" t="s">
        <v>53</v>
      </c>
      <c r="G149" t="s">
        <v>216</v>
      </c>
      <c r="H149" s="1">
        <v>46204</v>
      </c>
      <c r="I149">
        <v>160</v>
      </c>
      <c r="J149" s="1" t="s">
        <v>538</v>
      </c>
      <c r="K149" t="str">
        <f t="shared" si="2"/>
        <v>Non-Expired</v>
      </c>
    </row>
    <row r="150" spans="1:11" x14ac:dyDescent="0.3">
      <c r="A150" s="3" t="s">
        <v>469</v>
      </c>
      <c r="B150" t="s">
        <v>9</v>
      </c>
      <c r="C150" t="s">
        <v>125</v>
      </c>
      <c r="D150">
        <v>22</v>
      </c>
      <c r="E150" t="s">
        <v>60</v>
      </c>
      <c r="F150" t="s">
        <v>61</v>
      </c>
      <c r="G150" t="s">
        <v>217</v>
      </c>
      <c r="H150" s="1">
        <v>45992</v>
      </c>
      <c r="I150">
        <v>2640</v>
      </c>
      <c r="J150" s="1" t="s">
        <v>538</v>
      </c>
      <c r="K150" t="str">
        <f t="shared" si="2"/>
        <v>Non-Expired</v>
      </c>
    </row>
    <row r="151" spans="1:11" x14ac:dyDescent="0.3">
      <c r="A151" s="3" t="s">
        <v>469</v>
      </c>
      <c r="B151" t="s">
        <v>65</v>
      </c>
      <c r="C151" t="s">
        <v>66</v>
      </c>
      <c r="D151">
        <v>29</v>
      </c>
      <c r="E151" t="s">
        <v>63</v>
      </c>
      <c r="F151" t="s">
        <v>50</v>
      </c>
      <c r="G151" t="s">
        <v>158</v>
      </c>
      <c r="H151" s="1">
        <v>46296</v>
      </c>
      <c r="I151">
        <v>580</v>
      </c>
      <c r="J151" s="1" t="s">
        <v>538</v>
      </c>
      <c r="K151" t="str">
        <f t="shared" si="2"/>
        <v>Non-Expired</v>
      </c>
    </row>
    <row r="152" spans="1:11" x14ac:dyDescent="0.3">
      <c r="A152" s="3" t="s">
        <v>469</v>
      </c>
      <c r="B152" t="s">
        <v>9</v>
      </c>
      <c r="C152" t="s">
        <v>173</v>
      </c>
      <c r="D152">
        <v>3</v>
      </c>
      <c r="E152" t="s">
        <v>67</v>
      </c>
      <c r="F152" t="s">
        <v>68</v>
      </c>
      <c r="G152" t="s">
        <v>218</v>
      </c>
      <c r="H152" s="1">
        <v>46143</v>
      </c>
      <c r="I152">
        <v>90</v>
      </c>
      <c r="J152" s="1" t="s">
        <v>538</v>
      </c>
      <c r="K152" t="str">
        <f t="shared" si="2"/>
        <v>Non-Expired</v>
      </c>
    </row>
    <row r="153" spans="1:11" x14ac:dyDescent="0.3">
      <c r="A153" s="3" t="s">
        <v>469</v>
      </c>
      <c r="B153" t="s">
        <v>9</v>
      </c>
      <c r="C153" t="s">
        <v>128</v>
      </c>
      <c r="D153">
        <v>20</v>
      </c>
      <c r="E153" t="s">
        <v>71</v>
      </c>
      <c r="F153" t="s">
        <v>72</v>
      </c>
      <c r="G153" t="s">
        <v>219</v>
      </c>
      <c r="H153" s="1">
        <v>45413</v>
      </c>
      <c r="I153">
        <v>800</v>
      </c>
      <c r="J153" s="1" t="s">
        <v>538</v>
      </c>
      <c r="K153" t="str">
        <f t="shared" si="2"/>
        <v>Expired</v>
      </c>
    </row>
    <row r="154" spans="1:11" x14ac:dyDescent="0.3">
      <c r="A154" s="3" t="s">
        <v>470</v>
      </c>
      <c r="B154" t="s">
        <v>80</v>
      </c>
      <c r="C154" t="s">
        <v>210</v>
      </c>
      <c r="D154">
        <v>14</v>
      </c>
      <c r="E154" t="s">
        <v>75</v>
      </c>
      <c r="F154" t="s">
        <v>16</v>
      </c>
      <c r="G154" t="s">
        <v>220</v>
      </c>
      <c r="H154" s="1">
        <v>46296</v>
      </c>
      <c r="I154">
        <v>700</v>
      </c>
      <c r="J154" s="1" t="s">
        <v>538</v>
      </c>
      <c r="K154" t="str">
        <f t="shared" si="2"/>
        <v>Non-Expired</v>
      </c>
    </row>
    <row r="155" spans="1:11" x14ac:dyDescent="0.3">
      <c r="A155" s="3" t="s">
        <v>470</v>
      </c>
      <c r="B155" t="s">
        <v>97</v>
      </c>
      <c r="C155" t="s">
        <v>10</v>
      </c>
      <c r="D155">
        <v>29</v>
      </c>
      <c r="E155" t="s">
        <v>11</v>
      </c>
      <c r="F155" t="s">
        <v>12</v>
      </c>
      <c r="G155" t="s">
        <v>221</v>
      </c>
      <c r="H155" s="1">
        <v>46661</v>
      </c>
      <c r="I155">
        <v>58</v>
      </c>
      <c r="J155" s="1" t="s">
        <v>538</v>
      </c>
      <c r="K155" t="str">
        <f t="shared" si="2"/>
        <v>Non-Expired</v>
      </c>
    </row>
    <row r="156" spans="1:11" x14ac:dyDescent="0.3">
      <c r="A156" s="3" t="s">
        <v>470</v>
      </c>
      <c r="B156" t="s">
        <v>43</v>
      </c>
      <c r="C156" t="s">
        <v>203</v>
      </c>
      <c r="D156">
        <v>11</v>
      </c>
      <c r="E156" t="s">
        <v>15</v>
      </c>
      <c r="F156" t="s">
        <v>16</v>
      </c>
      <c r="G156" t="s">
        <v>222</v>
      </c>
      <c r="H156" s="1">
        <v>46204</v>
      </c>
      <c r="I156">
        <v>33</v>
      </c>
      <c r="J156" s="1" t="s">
        <v>538</v>
      </c>
      <c r="K156" t="str">
        <f t="shared" si="2"/>
        <v>Non-Expired</v>
      </c>
    </row>
    <row r="157" spans="1:11" x14ac:dyDescent="0.3">
      <c r="A157" s="3" t="s">
        <v>470</v>
      </c>
      <c r="B157" t="s">
        <v>18</v>
      </c>
      <c r="C157" t="s">
        <v>66</v>
      </c>
      <c r="D157">
        <v>30</v>
      </c>
      <c r="E157" t="s">
        <v>20</v>
      </c>
      <c r="F157" t="s">
        <v>21</v>
      </c>
      <c r="G157" t="s">
        <v>223</v>
      </c>
      <c r="H157" s="1">
        <v>46661</v>
      </c>
      <c r="I157">
        <v>240</v>
      </c>
      <c r="J157" s="1" t="s">
        <v>538</v>
      </c>
      <c r="K157" t="str">
        <f t="shared" si="2"/>
        <v>Non-Expired</v>
      </c>
    </row>
    <row r="158" spans="1:11" x14ac:dyDescent="0.3">
      <c r="A158" s="3" t="s">
        <v>470</v>
      </c>
      <c r="B158" t="s">
        <v>80</v>
      </c>
      <c r="C158" t="s">
        <v>99</v>
      </c>
      <c r="D158">
        <v>12</v>
      </c>
      <c r="E158" t="s">
        <v>25</v>
      </c>
      <c r="F158" t="s">
        <v>26</v>
      </c>
      <c r="G158" t="s">
        <v>224</v>
      </c>
      <c r="H158" s="1">
        <v>46478</v>
      </c>
      <c r="I158">
        <v>36</v>
      </c>
      <c r="J158" s="1" t="s">
        <v>538</v>
      </c>
      <c r="K158" t="str">
        <f t="shared" si="2"/>
        <v>Non-Expired</v>
      </c>
    </row>
    <row r="159" spans="1:11" x14ac:dyDescent="0.3">
      <c r="A159" s="3" t="s">
        <v>470</v>
      </c>
      <c r="B159" t="s">
        <v>9</v>
      </c>
      <c r="C159" t="s">
        <v>74</v>
      </c>
      <c r="D159">
        <v>13</v>
      </c>
      <c r="E159" t="s">
        <v>28</v>
      </c>
      <c r="F159" t="s">
        <v>29</v>
      </c>
      <c r="G159" t="s">
        <v>30</v>
      </c>
      <c r="H159" s="1">
        <v>46023</v>
      </c>
      <c r="I159">
        <v>52</v>
      </c>
      <c r="J159" s="1" t="s">
        <v>538</v>
      </c>
      <c r="K159" t="str">
        <f t="shared" si="2"/>
        <v>Non-Expired</v>
      </c>
    </row>
    <row r="160" spans="1:11" x14ac:dyDescent="0.3">
      <c r="A160" s="3" t="s">
        <v>470</v>
      </c>
      <c r="B160" t="s">
        <v>80</v>
      </c>
      <c r="C160" t="s">
        <v>128</v>
      </c>
      <c r="D160">
        <v>26</v>
      </c>
      <c r="E160" t="s">
        <v>33</v>
      </c>
      <c r="F160" t="s">
        <v>34</v>
      </c>
      <c r="G160" t="s">
        <v>225</v>
      </c>
      <c r="H160" s="1">
        <v>46569</v>
      </c>
      <c r="I160">
        <v>130</v>
      </c>
      <c r="J160" s="1" t="s">
        <v>538</v>
      </c>
      <c r="K160" t="str">
        <f t="shared" si="2"/>
        <v>Non-Expired</v>
      </c>
    </row>
    <row r="161" spans="1:11" x14ac:dyDescent="0.3">
      <c r="A161" s="3" t="s">
        <v>470</v>
      </c>
      <c r="B161" t="s">
        <v>85</v>
      </c>
      <c r="C161" t="s">
        <v>88</v>
      </c>
      <c r="D161">
        <v>6</v>
      </c>
      <c r="E161" t="s">
        <v>36</v>
      </c>
      <c r="F161" t="s">
        <v>37</v>
      </c>
      <c r="G161" t="s">
        <v>226</v>
      </c>
      <c r="H161" s="1">
        <v>46174</v>
      </c>
      <c r="I161">
        <v>36</v>
      </c>
      <c r="J161" s="1" t="s">
        <v>538</v>
      </c>
      <c r="K161" t="str">
        <f t="shared" si="2"/>
        <v>Non-Expired</v>
      </c>
    </row>
    <row r="162" spans="1:11" x14ac:dyDescent="0.3">
      <c r="A162" s="3" t="s">
        <v>471</v>
      </c>
      <c r="B162" t="s">
        <v>31</v>
      </c>
      <c r="C162" t="s">
        <v>70</v>
      </c>
      <c r="D162">
        <v>6</v>
      </c>
      <c r="E162" t="s">
        <v>41</v>
      </c>
      <c r="F162" t="s">
        <v>12</v>
      </c>
      <c r="G162" t="s">
        <v>152</v>
      </c>
      <c r="H162" s="1">
        <v>46113</v>
      </c>
      <c r="I162">
        <v>24</v>
      </c>
      <c r="J162" s="1" t="s">
        <v>538</v>
      </c>
      <c r="K162" t="str">
        <f t="shared" si="2"/>
        <v>Non-Expired</v>
      </c>
    </row>
    <row r="163" spans="1:11" x14ac:dyDescent="0.3">
      <c r="A163" s="3" t="s">
        <v>471</v>
      </c>
      <c r="B163" t="s">
        <v>9</v>
      </c>
      <c r="C163" t="s">
        <v>125</v>
      </c>
      <c r="D163">
        <v>15</v>
      </c>
      <c r="E163" t="s">
        <v>45</v>
      </c>
      <c r="F163" t="s">
        <v>16</v>
      </c>
      <c r="G163" t="s">
        <v>227</v>
      </c>
      <c r="H163" s="1">
        <v>46661</v>
      </c>
      <c r="I163">
        <v>150</v>
      </c>
      <c r="J163" s="1" t="s">
        <v>538</v>
      </c>
      <c r="K163" t="str">
        <f t="shared" si="2"/>
        <v>Non-Expired</v>
      </c>
    </row>
    <row r="164" spans="1:11" x14ac:dyDescent="0.3">
      <c r="A164" s="3" t="s">
        <v>471</v>
      </c>
      <c r="B164" t="s">
        <v>65</v>
      </c>
      <c r="C164" t="s">
        <v>125</v>
      </c>
      <c r="D164">
        <v>30</v>
      </c>
      <c r="E164" t="s">
        <v>49</v>
      </c>
      <c r="F164" t="s">
        <v>50</v>
      </c>
      <c r="G164" t="s">
        <v>228</v>
      </c>
      <c r="H164" s="1">
        <v>46600</v>
      </c>
      <c r="I164">
        <v>150</v>
      </c>
      <c r="J164" s="1" t="s">
        <v>538</v>
      </c>
      <c r="K164" t="str">
        <f t="shared" si="2"/>
        <v>Non-Expired</v>
      </c>
    </row>
    <row r="165" spans="1:11" x14ac:dyDescent="0.3">
      <c r="A165" s="3" t="s">
        <v>471</v>
      </c>
      <c r="B165" t="s">
        <v>92</v>
      </c>
      <c r="C165" t="s">
        <v>14</v>
      </c>
      <c r="D165">
        <v>30</v>
      </c>
      <c r="E165" t="s">
        <v>52</v>
      </c>
      <c r="F165" t="s">
        <v>53</v>
      </c>
      <c r="G165" t="s">
        <v>171</v>
      </c>
      <c r="H165" s="1">
        <v>45108</v>
      </c>
      <c r="I165">
        <v>60</v>
      </c>
      <c r="J165" s="1" t="s">
        <v>538</v>
      </c>
      <c r="K165" t="str">
        <f t="shared" si="2"/>
        <v>Expired</v>
      </c>
    </row>
    <row r="166" spans="1:11" x14ac:dyDescent="0.3">
      <c r="A166" s="3" t="s">
        <v>471</v>
      </c>
      <c r="B166" t="s">
        <v>65</v>
      </c>
      <c r="C166" t="s">
        <v>214</v>
      </c>
      <c r="D166">
        <v>5</v>
      </c>
      <c r="E166" t="s">
        <v>56</v>
      </c>
      <c r="F166" t="s">
        <v>53</v>
      </c>
      <c r="G166" t="s">
        <v>229</v>
      </c>
      <c r="H166" s="1">
        <v>46357</v>
      </c>
      <c r="I166">
        <v>50</v>
      </c>
      <c r="J166" s="1" t="s">
        <v>538</v>
      </c>
      <c r="K166" t="str">
        <f t="shared" si="2"/>
        <v>Non-Expired</v>
      </c>
    </row>
    <row r="167" spans="1:11" x14ac:dyDescent="0.3">
      <c r="A167" s="3" t="s">
        <v>471</v>
      </c>
      <c r="B167" t="s">
        <v>9</v>
      </c>
      <c r="C167" t="s">
        <v>44</v>
      </c>
      <c r="D167">
        <v>20</v>
      </c>
      <c r="E167" t="s">
        <v>60</v>
      </c>
      <c r="F167" t="s">
        <v>61</v>
      </c>
      <c r="G167" t="s">
        <v>230</v>
      </c>
      <c r="H167" s="1">
        <v>46447</v>
      </c>
      <c r="I167">
        <v>2400</v>
      </c>
      <c r="J167" s="1" t="s">
        <v>538</v>
      </c>
      <c r="K167" t="str">
        <f t="shared" si="2"/>
        <v>Non-Expired</v>
      </c>
    </row>
    <row r="168" spans="1:11" x14ac:dyDescent="0.3">
      <c r="A168" s="3" t="s">
        <v>471</v>
      </c>
      <c r="B168" t="s">
        <v>80</v>
      </c>
      <c r="C168" t="s">
        <v>88</v>
      </c>
      <c r="D168">
        <v>29</v>
      </c>
      <c r="E168" t="s">
        <v>63</v>
      </c>
      <c r="F168" t="s">
        <v>50</v>
      </c>
      <c r="G168" t="s">
        <v>231</v>
      </c>
      <c r="H168" s="1">
        <v>46023</v>
      </c>
      <c r="I168">
        <v>580</v>
      </c>
      <c r="J168" s="1" t="s">
        <v>538</v>
      </c>
      <c r="K168" t="str">
        <f t="shared" si="2"/>
        <v>Non-Expired</v>
      </c>
    </row>
    <row r="169" spans="1:11" x14ac:dyDescent="0.3">
      <c r="A169" s="3" t="s">
        <v>471</v>
      </c>
      <c r="B169" t="s">
        <v>18</v>
      </c>
      <c r="C169" t="s">
        <v>88</v>
      </c>
      <c r="D169">
        <v>2</v>
      </c>
      <c r="E169" t="s">
        <v>67</v>
      </c>
      <c r="F169" t="s">
        <v>68</v>
      </c>
      <c r="G169" t="s">
        <v>232</v>
      </c>
      <c r="H169" s="1">
        <v>46419</v>
      </c>
      <c r="I169">
        <v>60</v>
      </c>
      <c r="J169" s="1" t="s">
        <v>538</v>
      </c>
      <c r="K169" t="str">
        <f t="shared" si="2"/>
        <v>Non-Expired</v>
      </c>
    </row>
    <row r="170" spans="1:11" x14ac:dyDescent="0.3">
      <c r="A170" s="3" t="s">
        <v>472</v>
      </c>
      <c r="B170" t="s">
        <v>9</v>
      </c>
      <c r="C170" t="s">
        <v>128</v>
      </c>
      <c r="D170">
        <v>14</v>
      </c>
      <c r="E170" t="s">
        <v>71</v>
      </c>
      <c r="F170" t="s">
        <v>72</v>
      </c>
      <c r="G170" t="s">
        <v>73</v>
      </c>
      <c r="H170" s="1">
        <v>46357</v>
      </c>
      <c r="I170">
        <v>560</v>
      </c>
      <c r="J170" s="1" t="s">
        <v>538</v>
      </c>
      <c r="K170" t="str">
        <f t="shared" si="2"/>
        <v>Non-Expired</v>
      </c>
    </row>
    <row r="171" spans="1:11" x14ac:dyDescent="0.3">
      <c r="A171" s="3" t="s">
        <v>472</v>
      </c>
      <c r="B171" t="s">
        <v>92</v>
      </c>
      <c r="C171" t="s">
        <v>103</v>
      </c>
      <c r="D171">
        <v>10</v>
      </c>
      <c r="E171" t="s">
        <v>75</v>
      </c>
      <c r="F171" t="s">
        <v>16</v>
      </c>
      <c r="G171" t="s">
        <v>205</v>
      </c>
      <c r="H171" s="1">
        <v>46539</v>
      </c>
      <c r="I171">
        <v>500</v>
      </c>
      <c r="J171" s="1" t="s">
        <v>538</v>
      </c>
      <c r="K171" t="str">
        <f t="shared" si="2"/>
        <v>Non-Expired</v>
      </c>
    </row>
    <row r="172" spans="1:11" x14ac:dyDescent="0.3">
      <c r="A172" s="3" t="s">
        <v>472</v>
      </c>
      <c r="B172" t="s">
        <v>90</v>
      </c>
      <c r="C172" t="s">
        <v>88</v>
      </c>
      <c r="D172">
        <v>20</v>
      </c>
      <c r="E172" t="s">
        <v>11</v>
      </c>
      <c r="F172" t="s">
        <v>12</v>
      </c>
      <c r="G172" t="s">
        <v>124</v>
      </c>
      <c r="H172" s="1">
        <v>46174</v>
      </c>
      <c r="I172">
        <v>40</v>
      </c>
      <c r="J172" s="1" t="s">
        <v>538</v>
      </c>
      <c r="K172" t="str">
        <f t="shared" si="2"/>
        <v>Non-Expired</v>
      </c>
    </row>
    <row r="173" spans="1:11" x14ac:dyDescent="0.3">
      <c r="A173" s="3" t="s">
        <v>472</v>
      </c>
      <c r="B173" t="s">
        <v>9</v>
      </c>
      <c r="C173" t="s">
        <v>180</v>
      </c>
      <c r="D173">
        <v>12</v>
      </c>
      <c r="E173" t="s">
        <v>15</v>
      </c>
      <c r="F173" t="s">
        <v>16</v>
      </c>
      <c r="G173" t="s">
        <v>233</v>
      </c>
      <c r="H173" s="1">
        <v>45566</v>
      </c>
      <c r="I173">
        <v>36</v>
      </c>
      <c r="J173" s="1" t="s">
        <v>538</v>
      </c>
      <c r="K173" t="str">
        <f t="shared" si="2"/>
        <v>Expired</v>
      </c>
    </row>
    <row r="174" spans="1:11" x14ac:dyDescent="0.3">
      <c r="A174" s="3" t="s">
        <v>472</v>
      </c>
      <c r="B174" t="s">
        <v>80</v>
      </c>
      <c r="C174" t="s">
        <v>101</v>
      </c>
      <c r="D174">
        <v>4</v>
      </c>
      <c r="E174" t="s">
        <v>20</v>
      </c>
      <c r="F174" t="s">
        <v>21</v>
      </c>
      <c r="G174" t="s">
        <v>22</v>
      </c>
      <c r="H174" s="1">
        <v>46478</v>
      </c>
      <c r="I174">
        <v>32</v>
      </c>
      <c r="J174" s="1" t="s">
        <v>538</v>
      </c>
      <c r="K174" t="str">
        <f t="shared" si="2"/>
        <v>Non-Expired</v>
      </c>
    </row>
    <row r="175" spans="1:11" x14ac:dyDescent="0.3">
      <c r="A175" s="3" t="s">
        <v>472</v>
      </c>
      <c r="B175" t="s">
        <v>9</v>
      </c>
      <c r="C175" t="s">
        <v>74</v>
      </c>
      <c r="D175">
        <v>8</v>
      </c>
      <c r="E175" t="s">
        <v>25</v>
      </c>
      <c r="F175" t="s">
        <v>26</v>
      </c>
      <c r="G175" t="s">
        <v>234</v>
      </c>
      <c r="H175" s="1">
        <v>46753</v>
      </c>
      <c r="I175">
        <v>24</v>
      </c>
      <c r="J175" s="1" t="s">
        <v>538</v>
      </c>
      <c r="K175" t="str">
        <f t="shared" si="2"/>
        <v>Non-Expired</v>
      </c>
    </row>
    <row r="176" spans="1:11" x14ac:dyDescent="0.3">
      <c r="A176" s="3" t="s">
        <v>472</v>
      </c>
      <c r="B176" t="s">
        <v>85</v>
      </c>
      <c r="C176" t="s">
        <v>74</v>
      </c>
      <c r="D176">
        <v>25</v>
      </c>
      <c r="E176" t="s">
        <v>28</v>
      </c>
      <c r="F176" t="s">
        <v>29</v>
      </c>
      <c r="G176" t="s">
        <v>235</v>
      </c>
      <c r="H176" s="1">
        <v>46631</v>
      </c>
      <c r="I176">
        <v>100</v>
      </c>
      <c r="J176" s="1" t="s">
        <v>538</v>
      </c>
      <c r="K176" t="str">
        <f t="shared" si="2"/>
        <v>Non-Expired</v>
      </c>
    </row>
    <row r="177" spans="1:11" x14ac:dyDescent="0.3">
      <c r="A177" s="3" t="s">
        <v>472</v>
      </c>
      <c r="B177" t="s">
        <v>43</v>
      </c>
      <c r="C177" t="s">
        <v>44</v>
      </c>
      <c r="D177">
        <v>27</v>
      </c>
      <c r="E177" t="s">
        <v>33</v>
      </c>
      <c r="F177" t="s">
        <v>34</v>
      </c>
      <c r="G177" t="s">
        <v>236</v>
      </c>
      <c r="H177" s="1">
        <v>46388</v>
      </c>
      <c r="I177">
        <v>135</v>
      </c>
      <c r="J177" s="1" t="s">
        <v>538</v>
      </c>
      <c r="K177" t="str">
        <f t="shared" si="2"/>
        <v>Non-Expired</v>
      </c>
    </row>
    <row r="178" spans="1:11" x14ac:dyDescent="0.3">
      <c r="A178" s="3" t="s">
        <v>473</v>
      </c>
      <c r="B178" t="s">
        <v>18</v>
      </c>
      <c r="C178" t="s">
        <v>214</v>
      </c>
      <c r="D178">
        <v>10</v>
      </c>
      <c r="E178" t="s">
        <v>36</v>
      </c>
      <c r="F178" t="s">
        <v>37</v>
      </c>
      <c r="G178" t="s">
        <v>237</v>
      </c>
      <c r="H178" s="1">
        <v>46661</v>
      </c>
      <c r="I178">
        <v>60</v>
      </c>
      <c r="J178" s="1" t="s">
        <v>538</v>
      </c>
      <c r="K178" t="str">
        <f t="shared" si="2"/>
        <v>Non-Expired</v>
      </c>
    </row>
    <row r="179" spans="1:11" x14ac:dyDescent="0.3">
      <c r="A179" s="3" t="s">
        <v>473</v>
      </c>
      <c r="B179" t="s">
        <v>92</v>
      </c>
      <c r="C179" t="s">
        <v>103</v>
      </c>
      <c r="D179">
        <v>16</v>
      </c>
      <c r="E179" t="s">
        <v>41</v>
      </c>
      <c r="F179" t="s">
        <v>12</v>
      </c>
      <c r="G179" t="s">
        <v>238</v>
      </c>
      <c r="H179" s="1">
        <v>46174</v>
      </c>
      <c r="I179">
        <v>64</v>
      </c>
      <c r="J179" s="1" t="s">
        <v>538</v>
      </c>
      <c r="K179" t="str">
        <f t="shared" si="2"/>
        <v>Non-Expired</v>
      </c>
    </row>
    <row r="180" spans="1:11" x14ac:dyDescent="0.3">
      <c r="A180" s="3" t="s">
        <v>473</v>
      </c>
      <c r="B180" t="s">
        <v>80</v>
      </c>
      <c r="C180" t="s">
        <v>119</v>
      </c>
      <c r="D180">
        <v>13</v>
      </c>
      <c r="E180" t="s">
        <v>45</v>
      </c>
      <c r="F180" t="s">
        <v>16</v>
      </c>
      <c r="G180" t="s">
        <v>239</v>
      </c>
      <c r="H180" s="1">
        <v>45352</v>
      </c>
      <c r="I180">
        <v>130</v>
      </c>
      <c r="J180" s="1" t="s">
        <v>538</v>
      </c>
      <c r="K180" t="str">
        <f t="shared" si="2"/>
        <v>Expired</v>
      </c>
    </row>
    <row r="181" spans="1:11" x14ac:dyDescent="0.3">
      <c r="A181" s="3" t="s">
        <v>473</v>
      </c>
      <c r="B181" t="s">
        <v>90</v>
      </c>
      <c r="C181" t="s">
        <v>162</v>
      </c>
      <c r="D181">
        <v>13</v>
      </c>
      <c r="E181" t="s">
        <v>49</v>
      </c>
      <c r="F181" t="s">
        <v>50</v>
      </c>
      <c r="G181" t="s">
        <v>115</v>
      </c>
      <c r="H181" s="1">
        <v>46631</v>
      </c>
      <c r="I181">
        <v>65</v>
      </c>
      <c r="J181" s="1" t="s">
        <v>538</v>
      </c>
      <c r="K181" t="str">
        <f t="shared" si="2"/>
        <v>Non-Expired</v>
      </c>
    </row>
    <row r="182" spans="1:11" x14ac:dyDescent="0.3">
      <c r="A182" s="3" t="s">
        <v>473</v>
      </c>
      <c r="B182" t="s">
        <v>9</v>
      </c>
      <c r="C182" t="s">
        <v>170</v>
      </c>
      <c r="D182">
        <v>22</v>
      </c>
      <c r="E182" t="s">
        <v>52</v>
      </c>
      <c r="F182" t="s">
        <v>53</v>
      </c>
      <c r="G182" t="s">
        <v>137</v>
      </c>
      <c r="H182" s="1">
        <v>46692</v>
      </c>
      <c r="I182">
        <v>44</v>
      </c>
      <c r="J182" s="1" t="s">
        <v>538</v>
      </c>
      <c r="K182" t="str">
        <f t="shared" si="2"/>
        <v>Non-Expired</v>
      </c>
    </row>
    <row r="183" spans="1:11" x14ac:dyDescent="0.3">
      <c r="A183" s="3" t="s">
        <v>473</v>
      </c>
      <c r="B183" t="s">
        <v>9</v>
      </c>
      <c r="C183" t="s">
        <v>70</v>
      </c>
      <c r="D183">
        <v>20</v>
      </c>
      <c r="E183" t="s">
        <v>56</v>
      </c>
      <c r="F183" t="s">
        <v>53</v>
      </c>
      <c r="G183" t="s">
        <v>240</v>
      </c>
      <c r="H183" s="1">
        <v>46054</v>
      </c>
      <c r="I183">
        <v>200</v>
      </c>
      <c r="J183" s="1" t="s">
        <v>538</v>
      </c>
      <c r="K183" t="str">
        <f t="shared" si="2"/>
        <v>Non-Expired</v>
      </c>
    </row>
    <row r="184" spans="1:11" x14ac:dyDescent="0.3">
      <c r="A184" s="3" t="s">
        <v>473</v>
      </c>
      <c r="B184" t="s">
        <v>80</v>
      </c>
      <c r="C184" t="s">
        <v>210</v>
      </c>
      <c r="D184">
        <v>10</v>
      </c>
      <c r="E184" t="s">
        <v>60</v>
      </c>
      <c r="F184" t="s">
        <v>61</v>
      </c>
      <c r="G184" t="s">
        <v>62</v>
      </c>
      <c r="H184" s="1">
        <v>46569</v>
      </c>
      <c r="I184">
        <v>1200</v>
      </c>
      <c r="J184" s="1" t="s">
        <v>538</v>
      </c>
      <c r="K184" t="str">
        <f t="shared" si="2"/>
        <v>Non-Expired</v>
      </c>
    </row>
    <row r="185" spans="1:11" x14ac:dyDescent="0.3">
      <c r="A185" s="3" t="s">
        <v>473</v>
      </c>
      <c r="B185" t="s">
        <v>9</v>
      </c>
      <c r="C185" t="s">
        <v>59</v>
      </c>
      <c r="D185">
        <v>24</v>
      </c>
      <c r="E185" t="s">
        <v>63</v>
      </c>
      <c r="F185" t="s">
        <v>50</v>
      </c>
      <c r="G185" t="s">
        <v>241</v>
      </c>
      <c r="H185" s="1">
        <v>46082</v>
      </c>
      <c r="I185">
        <v>480</v>
      </c>
      <c r="J185" s="1" t="s">
        <v>538</v>
      </c>
      <c r="K185" t="str">
        <f t="shared" si="2"/>
        <v>Non-Expired</v>
      </c>
    </row>
    <row r="186" spans="1:11" x14ac:dyDescent="0.3">
      <c r="A186" s="3" t="s">
        <v>474</v>
      </c>
      <c r="B186" t="s">
        <v>23</v>
      </c>
      <c r="C186" t="s">
        <v>66</v>
      </c>
      <c r="D186">
        <v>28</v>
      </c>
      <c r="E186" t="s">
        <v>67</v>
      </c>
      <c r="F186" t="s">
        <v>68</v>
      </c>
      <c r="G186" t="s">
        <v>142</v>
      </c>
      <c r="H186" s="1">
        <v>46054</v>
      </c>
      <c r="I186">
        <v>840</v>
      </c>
      <c r="J186" s="1" t="s">
        <v>538</v>
      </c>
      <c r="K186" t="str">
        <f t="shared" si="2"/>
        <v>Non-Expired</v>
      </c>
    </row>
    <row r="187" spans="1:11" x14ac:dyDescent="0.3">
      <c r="A187" s="3" t="s">
        <v>474</v>
      </c>
      <c r="B187" t="s">
        <v>9</v>
      </c>
      <c r="C187" t="s">
        <v>180</v>
      </c>
      <c r="D187">
        <v>3</v>
      </c>
      <c r="E187" t="s">
        <v>71</v>
      </c>
      <c r="F187" t="s">
        <v>72</v>
      </c>
      <c r="G187" t="s">
        <v>242</v>
      </c>
      <c r="H187" s="1">
        <v>45444</v>
      </c>
      <c r="I187">
        <v>120</v>
      </c>
      <c r="J187" s="1" t="s">
        <v>538</v>
      </c>
      <c r="K187" t="str">
        <f t="shared" si="2"/>
        <v>Expired</v>
      </c>
    </row>
    <row r="188" spans="1:11" x14ac:dyDescent="0.3">
      <c r="A188" s="3" t="s">
        <v>474</v>
      </c>
      <c r="B188" t="s">
        <v>9</v>
      </c>
      <c r="C188" t="s">
        <v>149</v>
      </c>
      <c r="D188">
        <v>2</v>
      </c>
      <c r="E188" t="s">
        <v>75</v>
      </c>
      <c r="F188" t="s">
        <v>16</v>
      </c>
      <c r="G188" t="s">
        <v>243</v>
      </c>
      <c r="H188" s="1">
        <v>46266</v>
      </c>
      <c r="I188">
        <v>100</v>
      </c>
      <c r="J188" s="1" t="s">
        <v>538</v>
      </c>
      <c r="K188" t="str">
        <f t="shared" si="2"/>
        <v>Non-Expired</v>
      </c>
    </row>
    <row r="189" spans="1:11" x14ac:dyDescent="0.3">
      <c r="A189" s="3" t="s">
        <v>474</v>
      </c>
      <c r="B189" t="s">
        <v>23</v>
      </c>
      <c r="C189" t="s">
        <v>128</v>
      </c>
      <c r="D189">
        <v>12</v>
      </c>
      <c r="E189" t="s">
        <v>11</v>
      </c>
      <c r="F189" t="s">
        <v>12</v>
      </c>
      <c r="G189" t="s">
        <v>145</v>
      </c>
      <c r="H189" s="1">
        <v>46327</v>
      </c>
      <c r="I189">
        <v>24</v>
      </c>
      <c r="J189" s="1" t="s">
        <v>538</v>
      </c>
      <c r="K189" t="str">
        <f t="shared" si="2"/>
        <v>Non-Expired</v>
      </c>
    </row>
    <row r="190" spans="1:11" x14ac:dyDescent="0.3">
      <c r="A190" s="3" t="s">
        <v>474</v>
      </c>
      <c r="B190" t="s">
        <v>97</v>
      </c>
      <c r="C190" t="s">
        <v>14</v>
      </c>
      <c r="D190">
        <v>20</v>
      </c>
      <c r="E190" t="s">
        <v>15</v>
      </c>
      <c r="F190" t="s">
        <v>16</v>
      </c>
      <c r="G190" t="s">
        <v>244</v>
      </c>
      <c r="H190" s="1">
        <v>46539</v>
      </c>
      <c r="I190">
        <v>60</v>
      </c>
      <c r="J190" s="1" t="s">
        <v>538</v>
      </c>
      <c r="K190" t="str">
        <f t="shared" si="2"/>
        <v>Non-Expired</v>
      </c>
    </row>
    <row r="191" spans="1:11" x14ac:dyDescent="0.3">
      <c r="A191" s="3" t="s">
        <v>474</v>
      </c>
      <c r="B191" t="s">
        <v>65</v>
      </c>
      <c r="C191" t="s">
        <v>24</v>
      </c>
      <c r="D191">
        <v>23</v>
      </c>
      <c r="E191" t="s">
        <v>20</v>
      </c>
      <c r="F191" t="s">
        <v>21</v>
      </c>
      <c r="G191" t="s">
        <v>245</v>
      </c>
      <c r="H191" s="1">
        <v>46235</v>
      </c>
      <c r="I191">
        <v>184</v>
      </c>
      <c r="J191" s="1" t="s">
        <v>538</v>
      </c>
      <c r="K191" t="str">
        <f t="shared" si="2"/>
        <v>Non-Expired</v>
      </c>
    </row>
    <row r="192" spans="1:11" x14ac:dyDescent="0.3">
      <c r="A192" s="3" t="s">
        <v>474</v>
      </c>
      <c r="B192" t="s">
        <v>97</v>
      </c>
      <c r="C192" t="s">
        <v>88</v>
      </c>
      <c r="D192">
        <v>29</v>
      </c>
      <c r="E192" t="s">
        <v>25</v>
      </c>
      <c r="F192" t="s">
        <v>26</v>
      </c>
      <c r="G192" t="s">
        <v>246</v>
      </c>
      <c r="H192" s="1">
        <v>46235</v>
      </c>
      <c r="I192">
        <v>87</v>
      </c>
      <c r="J192" s="1" t="s">
        <v>538</v>
      </c>
      <c r="K192" t="str">
        <f t="shared" si="2"/>
        <v>Non-Expired</v>
      </c>
    </row>
    <row r="193" spans="1:11" x14ac:dyDescent="0.3">
      <c r="A193" s="3" t="s">
        <v>474</v>
      </c>
      <c r="B193" t="s">
        <v>97</v>
      </c>
      <c r="C193" t="s">
        <v>119</v>
      </c>
      <c r="D193">
        <v>23</v>
      </c>
      <c r="E193" t="s">
        <v>28</v>
      </c>
      <c r="F193" t="s">
        <v>29</v>
      </c>
      <c r="G193" t="s">
        <v>247</v>
      </c>
      <c r="H193" s="1">
        <v>45170</v>
      </c>
      <c r="I193">
        <v>92</v>
      </c>
      <c r="J193" s="1" t="s">
        <v>538</v>
      </c>
      <c r="K193" t="str">
        <f t="shared" si="2"/>
        <v>Expired</v>
      </c>
    </row>
    <row r="194" spans="1:11" x14ac:dyDescent="0.3">
      <c r="A194" s="3" t="s">
        <v>475</v>
      </c>
      <c r="B194" t="s">
        <v>9</v>
      </c>
      <c r="C194" t="s">
        <v>103</v>
      </c>
      <c r="D194">
        <v>23</v>
      </c>
      <c r="E194" t="s">
        <v>33</v>
      </c>
      <c r="F194" t="s">
        <v>34</v>
      </c>
      <c r="G194" t="s">
        <v>248</v>
      </c>
      <c r="H194" s="1">
        <v>46143</v>
      </c>
      <c r="I194">
        <v>115</v>
      </c>
      <c r="J194" s="1" t="s">
        <v>538</v>
      </c>
      <c r="K194" t="str">
        <f t="shared" si="2"/>
        <v>Non-Expired</v>
      </c>
    </row>
    <row r="195" spans="1:11" x14ac:dyDescent="0.3">
      <c r="A195" s="3" t="s">
        <v>475</v>
      </c>
      <c r="B195" t="s">
        <v>31</v>
      </c>
      <c r="C195" t="s">
        <v>170</v>
      </c>
      <c r="D195">
        <v>29</v>
      </c>
      <c r="E195" t="s">
        <v>36</v>
      </c>
      <c r="F195" t="s">
        <v>37</v>
      </c>
      <c r="G195" t="s">
        <v>249</v>
      </c>
      <c r="H195" s="1">
        <v>46661</v>
      </c>
      <c r="I195">
        <v>174</v>
      </c>
      <c r="J195" s="1" t="s">
        <v>538</v>
      </c>
      <c r="K195" t="str">
        <f t="shared" ref="K195:K258" si="3">IF(H195&lt;=DATE(2025,5,5),"Expired","Non-Expired")</f>
        <v>Non-Expired</v>
      </c>
    </row>
    <row r="196" spans="1:11" x14ac:dyDescent="0.3">
      <c r="A196" s="3" t="s">
        <v>475</v>
      </c>
      <c r="B196" t="s">
        <v>47</v>
      </c>
      <c r="C196" t="s">
        <v>14</v>
      </c>
      <c r="D196">
        <v>12</v>
      </c>
      <c r="E196" t="s">
        <v>41</v>
      </c>
      <c r="F196" t="s">
        <v>12</v>
      </c>
      <c r="G196" t="s">
        <v>250</v>
      </c>
      <c r="H196" s="1">
        <v>46296</v>
      </c>
      <c r="I196">
        <v>48</v>
      </c>
      <c r="J196" s="1" t="s">
        <v>538</v>
      </c>
      <c r="K196" t="str">
        <f t="shared" si="3"/>
        <v>Non-Expired</v>
      </c>
    </row>
    <row r="197" spans="1:11" x14ac:dyDescent="0.3">
      <c r="A197" s="3" t="s">
        <v>475</v>
      </c>
      <c r="B197" t="s">
        <v>31</v>
      </c>
      <c r="C197" t="s">
        <v>59</v>
      </c>
      <c r="D197">
        <v>18</v>
      </c>
      <c r="E197" t="s">
        <v>45</v>
      </c>
      <c r="F197" t="s">
        <v>16</v>
      </c>
      <c r="G197" t="s">
        <v>135</v>
      </c>
      <c r="H197" s="1">
        <v>46327</v>
      </c>
      <c r="I197">
        <v>180</v>
      </c>
      <c r="J197" s="1" t="s">
        <v>538</v>
      </c>
      <c r="K197" t="str">
        <f t="shared" si="3"/>
        <v>Non-Expired</v>
      </c>
    </row>
    <row r="198" spans="1:11" x14ac:dyDescent="0.3">
      <c r="A198" s="3" t="s">
        <v>475</v>
      </c>
      <c r="B198" t="s">
        <v>9</v>
      </c>
      <c r="C198" t="s">
        <v>107</v>
      </c>
      <c r="D198">
        <v>8</v>
      </c>
      <c r="E198" t="s">
        <v>49</v>
      </c>
      <c r="F198" t="s">
        <v>50</v>
      </c>
      <c r="G198" t="s">
        <v>251</v>
      </c>
      <c r="H198" s="1">
        <v>45658</v>
      </c>
      <c r="I198">
        <v>40</v>
      </c>
      <c r="J198" s="1" t="s">
        <v>538</v>
      </c>
      <c r="K198" t="str">
        <f t="shared" si="3"/>
        <v>Expired</v>
      </c>
    </row>
    <row r="199" spans="1:11" x14ac:dyDescent="0.3">
      <c r="A199" s="3" t="s">
        <v>475</v>
      </c>
      <c r="B199" t="s">
        <v>90</v>
      </c>
      <c r="C199" t="s">
        <v>103</v>
      </c>
      <c r="D199">
        <v>13</v>
      </c>
      <c r="E199" t="s">
        <v>52</v>
      </c>
      <c r="F199" t="s">
        <v>53</v>
      </c>
      <c r="G199" t="s">
        <v>171</v>
      </c>
      <c r="H199" s="1">
        <v>46569</v>
      </c>
      <c r="I199">
        <v>26</v>
      </c>
      <c r="J199" s="1" t="s">
        <v>538</v>
      </c>
      <c r="K199" t="str">
        <f t="shared" si="3"/>
        <v>Non-Expired</v>
      </c>
    </row>
    <row r="200" spans="1:11" x14ac:dyDescent="0.3">
      <c r="A200" s="3" t="s">
        <v>475</v>
      </c>
      <c r="B200" t="s">
        <v>9</v>
      </c>
      <c r="C200" t="s">
        <v>149</v>
      </c>
      <c r="D200">
        <v>29</v>
      </c>
      <c r="E200" t="s">
        <v>56</v>
      </c>
      <c r="F200" t="s">
        <v>53</v>
      </c>
      <c r="G200" t="s">
        <v>229</v>
      </c>
      <c r="H200" s="1">
        <v>46082</v>
      </c>
      <c r="I200">
        <v>290</v>
      </c>
      <c r="J200" s="1" t="s">
        <v>538</v>
      </c>
      <c r="K200" t="str">
        <f t="shared" si="3"/>
        <v>Non-Expired</v>
      </c>
    </row>
    <row r="201" spans="1:11" x14ac:dyDescent="0.3">
      <c r="A201" s="3" t="s">
        <v>475</v>
      </c>
      <c r="B201" t="s">
        <v>9</v>
      </c>
      <c r="C201" t="s">
        <v>70</v>
      </c>
      <c r="D201">
        <v>24</v>
      </c>
      <c r="E201" t="s">
        <v>60</v>
      </c>
      <c r="F201" t="s">
        <v>61</v>
      </c>
      <c r="G201" t="s">
        <v>252</v>
      </c>
      <c r="H201" s="1">
        <v>46447</v>
      </c>
      <c r="I201">
        <v>2880</v>
      </c>
      <c r="J201" s="1" t="s">
        <v>538</v>
      </c>
      <c r="K201" t="str">
        <f t="shared" si="3"/>
        <v>Non-Expired</v>
      </c>
    </row>
    <row r="202" spans="1:11" x14ac:dyDescent="0.3">
      <c r="A202" s="3" t="s">
        <v>476</v>
      </c>
      <c r="B202" t="s">
        <v>58</v>
      </c>
      <c r="C202" t="s">
        <v>59</v>
      </c>
      <c r="D202">
        <v>11</v>
      </c>
      <c r="E202" t="s">
        <v>63</v>
      </c>
      <c r="F202" t="s">
        <v>50</v>
      </c>
      <c r="G202" t="s">
        <v>253</v>
      </c>
      <c r="H202" s="1">
        <v>46296</v>
      </c>
      <c r="I202">
        <v>220</v>
      </c>
      <c r="J202" s="1" t="s">
        <v>538</v>
      </c>
      <c r="K202" t="str">
        <f t="shared" si="3"/>
        <v>Non-Expired</v>
      </c>
    </row>
    <row r="203" spans="1:11" x14ac:dyDescent="0.3">
      <c r="A203" s="3" t="s">
        <v>476</v>
      </c>
      <c r="B203" t="s">
        <v>47</v>
      </c>
      <c r="C203" t="s">
        <v>131</v>
      </c>
      <c r="D203">
        <v>9</v>
      </c>
      <c r="E203" t="s">
        <v>67</v>
      </c>
      <c r="F203" t="s">
        <v>68</v>
      </c>
      <c r="G203" t="s">
        <v>254</v>
      </c>
      <c r="H203" s="1">
        <v>46235</v>
      </c>
      <c r="I203">
        <v>270</v>
      </c>
      <c r="J203" s="1" t="s">
        <v>538</v>
      </c>
      <c r="K203" t="str">
        <f t="shared" si="3"/>
        <v>Non-Expired</v>
      </c>
    </row>
    <row r="204" spans="1:11" x14ac:dyDescent="0.3">
      <c r="A204" s="3" t="s">
        <v>476</v>
      </c>
      <c r="B204" t="s">
        <v>9</v>
      </c>
      <c r="C204" t="s">
        <v>203</v>
      </c>
      <c r="D204">
        <v>13</v>
      </c>
      <c r="E204" t="s">
        <v>71</v>
      </c>
      <c r="F204" t="s">
        <v>72</v>
      </c>
      <c r="G204" t="s">
        <v>255</v>
      </c>
      <c r="H204" s="1">
        <v>46204</v>
      </c>
      <c r="I204">
        <v>520</v>
      </c>
      <c r="J204" s="1" t="s">
        <v>538</v>
      </c>
      <c r="K204" t="str">
        <f t="shared" si="3"/>
        <v>Non-Expired</v>
      </c>
    </row>
    <row r="205" spans="1:11" x14ac:dyDescent="0.3">
      <c r="A205" s="3" t="s">
        <v>476</v>
      </c>
      <c r="B205" t="s">
        <v>90</v>
      </c>
      <c r="C205" t="s">
        <v>180</v>
      </c>
      <c r="D205">
        <v>29</v>
      </c>
      <c r="E205" t="s">
        <v>75</v>
      </c>
      <c r="F205" t="s">
        <v>16</v>
      </c>
      <c r="G205" t="s">
        <v>104</v>
      </c>
      <c r="H205" s="1">
        <v>45717</v>
      </c>
      <c r="I205">
        <v>1450</v>
      </c>
      <c r="J205" s="1" t="s">
        <v>538</v>
      </c>
      <c r="K205" t="str">
        <f t="shared" si="3"/>
        <v>Expired</v>
      </c>
    </row>
    <row r="206" spans="1:11" x14ac:dyDescent="0.3">
      <c r="A206" s="3" t="s">
        <v>476</v>
      </c>
      <c r="B206" t="s">
        <v>9</v>
      </c>
      <c r="C206" t="s">
        <v>48</v>
      </c>
      <c r="D206">
        <v>19</v>
      </c>
      <c r="E206" t="s">
        <v>11</v>
      </c>
      <c r="F206" t="s">
        <v>12</v>
      </c>
      <c r="G206" t="s">
        <v>256</v>
      </c>
      <c r="H206" s="1">
        <v>46327</v>
      </c>
      <c r="I206">
        <v>38</v>
      </c>
      <c r="J206" s="1" t="s">
        <v>538</v>
      </c>
      <c r="K206" t="str">
        <f t="shared" si="3"/>
        <v>Non-Expired</v>
      </c>
    </row>
    <row r="207" spans="1:11" x14ac:dyDescent="0.3">
      <c r="A207" s="3" t="s">
        <v>476</v>
      </c>
      <c r="B207" t="s">
        <v>23</v>
      </c>
      <c r="C207" t="s">
        <v>214</v>
      </c>
      <c r="D207">
        <v>2</v>
      </c>
      <c r="E207" t="s">
        <v>15</v>
      </c>
      <c r="F207" t="s">
        <v>16</v>
      </c>
      <c r="G207" t="s">
        <v>257</v>
      </c>
      <c r="H207" s="1">
        <v>46539</v>
      </c>
      <c r="I207">
        <v>6</v>
      </c>
      <c r="J207" s="1" t="s">
        <v>538</v>
      </c>
      <c r="K207" t="str">
        <f t="shared" si="3"/>
        <v>Non-Expired</v>
      </c>
    </row>
    <row r="208" spans="1:11" x14ac:dyDescent="0.3">
      <c r="A208" s="3" t="s">
        <v>476</v>
      </c>
      <c r="B208" t="s">
        <v>97</v>
      </c>
      <c r="C208" t="s">
        <v>48</v>
      </c>
      <c r="D208">
        <v>4</v>
      </c>
      <c r="E208" t="s">
        <v>20</v>
      </c>
      <c r="F208" t="s">
        <v>21</v>
      </c>
      <c r="G208" t="s">
        <v>258</v>
      </c>
      <c r="H208" s="1">
        <v>46569</v>
      </c>
      <c r="I208">
        <v>32</v>
      </c>
      <c r="J208" s="1" t="s">
        <v>538</v>
      </c>
      <c r="K208" t="str">
        <f t="shared" si="3"/>
        <v>Non-Expired</v>
      </c>
    </row>
    <row r="209" spans="1:11" x14ac:dyDescent="0.3">
      <c r="A209" s="3" t="s">
        <v>476</v>
      </c>
      <c r="B209" t="s">
        <v>43</v>
      </c>
      <c r="C209" t="s">
        <v>180</v>
      </c>
      <c r="D209">
        <v>10</v>
      </c>
      <c r="E209" t="s">
        <v>25</v>
      </c>
      <c r="F209" t="s">
        <v>26</v>
      </c>
      <c r="G209" t="s">
        <v>109</v>
      </c>
      <c r="H209" s="1">
        <v>46478</v>
      </c>
      <c r="I209">
        <v>30</v>
      </c>
      <c r="J209" s="1" t="s">
        <v>538</v>
      </c>
      <c r="K209" t="str">
        <f t="shared" si="3"/>
        <v>Non-Expired</v>
      </c>
    </row>
    <row r="210" spans="1:11" x14ac:dyDescent="0.3">
      <c r="A210" s="3" t="s">
        <v>477</v>
      </c>
      <c r="B210" t="s">
        <v>80</v>
      </c>
      <c r="C210" t="s">
        <v>125</v>
      </c>
      <c r="D210">
        <v>19</v>
      </c>
      <c r="E210" t="s">
        <v>28</v>
      </c>
      <c r="F210" t="s">
        <v>29</v>
      </c>
      <c r="G210" t="s">
        <v>130</v>
      </c>
      <c r="H210" s="1">
        <v>46661</v>
      </c>
      <c r="I210">
        <v>76</v>
      </c>
      <c r="J210" s="1" t="s">
        <v>538</v>
      </c>
      <c r="K210" t="str">
        <f t="shared" si="3"/>
        <v>Non-Expired</v>
      </c>
    </row>
    <row r="211" spans="1:11" x14ac:dyDescent="0.3">
      <c r="A211" s="3" t="s">
        <v>477</v>
      </c>
      <c r="B211" t="s">
        <v>58</v>
      </c>
      <c r="C211" t="s">
        <v>99</v>
      </c>
      <c r="D211">
        <v>10</v>
      </c>
      <c r="E211" t="s">
        <v>33</v>
      </c>
      <c r="F211" t="s">
        <v>34</v>
      </c>
      <c r="G211" t="s">
        <v>259</v>
      </c>
      <c r="H211" s="1">
        <v>45778</v>
      </c>
      <c r="I211">
        <v>50</v>
      </c>
      <c r="J211" s="1" t="s">
        <v>538</v>
      </c>
      <c r="K211" t="str">
        <f t="shared" si="3"/>
        <v>Expired</v>
      </c>
    </row>
    <row r="212" spans="1:11" x14ac:dyDescent="0.3">
      <c r="A212" s="3" t="s">
        <v>477</v>
      </c>
      <c r="B212" t="s">
        <v>85</v>
      </c>
      <c r="C212" t="s">
        <v>154</v>
      </c>
      <c r="D212">
        <v>21</v>
      </c>
      <c r="E212" t="s">
        <v>36</v>
      </c>
      <c r="F212" t="s">
        <v>37</v>
      </c>
      <c r="G212" t="s">
        <v>166</v>
      </c>
      <c r="H212" s="1">
        <v>46143</v>
      </c>
      <c r="I212">
        <v>126</v>
      </c>
      <c r="J212" s="1" t="s">
        <v>538</v>
      </c>
      <c r="K212" t="str">
        <f t="shared" si="3"/>
        <v>Non-Expired</v>
      </c>
    </row>
    <row r="213" spans="1:11" x14ac:dyDescent="0.3">
      <c r="A213" s="3" t="s">
        <v>477</v>
      </c>
      <c r="B213" t="s">
        <v>47</v>
      </c>
      <c r="C213" t="s">
        <v>119</v>
      </c>
      <c r="D213">
        <v>26</v>
      </c>
      <c r="E213" t="s">
        <v>41</v>
      </c>
      <c r="F213" t="s">
        <v>12</v>
      </c>
      <c r="G213" t="s">
        <v>198</v>
      </c>
      <c r="H213" s="1">
        <v>46296</v>
      </c>
      <c r="I213">
        <v>104</v>
      </c>
      <c r="J213" s="1" t="s">
        <v>538</v>
      </c>
      <c r="K213" t="str">
        <f t="shared" si="3"/>
        <v>Non-Expired</v>
      </c>
    </row>
    <row r="214" spans="1:11" x14ac:dyDescent="0.3">
      <c r="A214" s="3" t="s">
        <v>477</v>
      </c>
      <c r="B214" t="s">
        <v>65</v>
      </c>
      <c r="C214" t="s">
        <v>19</v>
      </c>
      <c r="D214">
        <v>27</v>
      </c>
      <c r="E214" t="s">
        <v>45</v>
      </c>
      <c r="F214" t="s">
        <v>16</v>
      </c>
      <c r="G214" t="s">
        <v>260</v>
      </c>
      <c r="H214" s="1">
        <v>46722</v>
      </c>
      <c r="I214">
        <v>270</v>
      </c>
      <c r="J214" s="1" t="s">
        <v>538</v>
      </c>
      <c r="K214" t="str">
        <f t="shared" si="3"/>
        <v>Non-Expired</v>
      </c>
    </row>
    <row r="215" spans="1:11" x14ac:dyDescent="0.3">
      <c r="A215" s="3" t="s">
        <v>477</v>
      </c>
      <c r="B215" t="s">
        <v>90</v>
      </c>
      <c r="C215" t="s">
        <v>14</v>
      </c>
      <c r="D215">
        <v>28</v>
      </c>
      <c r="E215" t="s">
        <v>49</v>
      </c>
      <c r="F215" t="s">
        <v>50</v>
      </c>
      <c r="G215" t="s">
        <v>185</v>
      </c>
      <c r="H215" s="1">
        <v>46419</v>
      </c>
      <c r="I215">
        <v>140</v>
      </c>
      <c r="J215" s="1" t="s">
        <v>538</v>
      </c>
      <c r="K215" t="str">
        <f t="shared" si="3"/>
        <v>Non-Expired</v>
      </c>
    </row>
    <row r="216" spans="1:11" x14ac:dyDescent="0.3">
      <c r="A216" s="3" t="s">
        <v>477</v>
      </c>
      <c r="B216" t="s">
        <v>92</v>
      </c>
      <c r="C216" t="s">
        <v>14</v>
      </c>
      <c r="D216">
        <v>12</v>
      </c>
      <c r="E216" t="s">
        <v>52</v>
      </c>
      <c r="F216" t="s">
        <v>53</v>
      </c>
      <c r="G216" t="s">
        <v>137</v>
      </c>
      <c r="H216" s="1">
        <v>46357</v>
      </c>
      <c r="I216">
        <v>24</v>
      </c>
      <c r="J216" s="1" t="s">
        <v>538</v>
      </c>
      <c r="K216" t="str">
        <f t="shared" si="3"/>
        <v>Non-Expired</v>
      </c>
    </row>
    <row r="217" spans="1:11" x14ac:dyDescent="0.3">
      <c r="A217" s="3" t="s">
        <v>477</v>
      </c>
      <c r="B217" t="s">
        <v>9</v>
      </c>
      <c r="C217" t="s">
        <v>154</v>
      </c>
      <c r="D217">
        <v>29</v>
      </c>
      <c r="E217" t="s">
        <v>56</v>
      </c>
      <c r="F217" t="s">
        <v>53</v>
      </c>
      <c r="G217" t="s">
        <v>95</v>
      </c>
      <c r="H217" s="1">
        <v>46784</v>
      </c>
      <c r="I217">
        <v>290</v>
      </c>
      <c r="J217" s="1" t="s">
        <v>538</v>
      </c>
      <c r="K217" t="str">
        <f t="shared" si="3"/>
        <v>Non-Expired</v>
      </c>
    </row>
    <row r="218" spans="1:11" x14ac:dyDescent="0.3">
      <c r="A218" s="3" t="s">
        <v>478</v>
      </c>
      <c r="B218" t="s">
        <v>9</v>
      </c>
      <c r="C218" t="s">
        <v>173</v>
      </c>
      <c r="D218">
        <v>11</v>
      </c>
      <c r="E218" t="s">
        <v>60</v>
      </c>
      <c r="F218" t="s">
        <v>61</v>
      </c>
      <c r="G218" t="s">
        <v>96</v>
      </c>
      <c r="H218" s="1">
        <v>45717</v>
      </c>
      <c r="I218">
        <v>1320</v>
      </c>
      <c r="J218" s="1" t="s">
        <v>538</v>
      </c>
      <c r="K218" t="str">
        <f t="shared" si="3"/>
        <v>Expired</v>
      </c>
    </row>
    <row r="219" spans="1:11" x14ac:dyDescent="0.3">
      <c r="A219" s="3" t="s">
        <v>478</v>
      </c>
      <c r="B219" t="s">
        <v>43</v>
      </c>
      <c r="C219" t="s">
        <v>139</v>
      </c>
      <c r="D219">
        <v>24</v>
      </c>
      <c r="E219" t="s">
        <v>63</v>
      </c>
      <c r="F219" t="s">
        <v>50</v>
      </c>
      <c r="G219" t="s">
        <v>261</v>
      </c>
      <c r="H219" s="1">
        <v>46082</v>
      </c>
      <c r="I219">
        <v>480</v>
      </c>
      <c r="J219" s="1" t="s">
        <v>538</v>
      </c>
      <c r="K219" t="str">
        <f t="shared" si="3"/>
        <v>Non-Expired</v>
      </c>
    </row>
    <row r="220" spans="1:11" x14ac:dyDescent="0.3">
      <c r="A220" s="3" t="s">
        <v>478</v>
      </c>
      <c r="B220" t="s">
        <v>18</v>
      </c>
      <c r="C220" t="s">
        <v>119</v>
      </c>
      <c r="D220">
        <v>5</v>
      </c>
      <c r="E220" t="s">
        <v>67</v>
      </c>
      <c r="F220" t="s">
        <v>68</v>
      </c>
      <c r="G220" t="s">
        <v>69</v>
      </c>
      <c r="H220" s="1">
        <v>46357</v>
      </c>
      <c r="I220">
        <v>150</v>
      </c>
      <c r="J220" s="1" t="s">
        <v>538</v>
      </c>
      <c r="K220" t="str">
        <f t="shared" si="3"/>
        <v>Non-Expired</v>
      </c>
    </row>
    <row r="221" spans="1:11" x14ac:dyDescent="0.3">
      <c r="A221" s="3" t="s">
        <v>478</v>
      </c>
      <c r="B221" t="s">
        <v>18</v>
      </c>
      <c r="C221" t="s">
        <v>112</v>
      </c>
      <c r="D221">
        <v>2</v>
      </c>
      <c r="E221" t="s">
        <v>71</v>
      </c>
      <c r="F221" t="s">
        <v>72</v>
      </c>
      <c r="G221" t="s">
        <v>255</v>
      </c>
      <c r="H221" s="1">
        <v>46388</v>
      </c>
      <c r="I221">
        <v>80</v>
      </c>
      <c r="J221" s="1" t="s">
        <v>538</v>
      </c>
      <c r="K221" t="str">
        <f t="shared" si="3"/>
        <v>Non-Expired</v>
      </c>
    </row>
    <row r="222" spans="1:11" x14ac:dyDescent="0.3">
      <c r="A222" s="3" t="s">
        <v>478</v>
      </c>
      <c r="B222" t="s">
        <v>31</v>
      </c>
      <c r="C222" t="s">
        <v>214</v>
      </c>
      <c r="D222">
        <v>11</v>
      </c>
      <c r="E222" t="s">
        <v>75</v>
      </c>
      <c r="F222" t="s">
        <v>16</v>
      </c>
      <c r="G222" t="s">
        <v>262</v>
      </c>
      <c r="H222" s="1">
        <v>46174</v>
      </c>
      <c r="I222">
        <v>550</v>
      </c>
      <c r="J222" s="1" t="s">
        <v>538</v>
      </c>
      <c r="K222" t="str">
        <f t="shared" si="3"/>
        <v>Non-Expired</v>
      </c>
    </row>
    <row r="223" spans="1:11" x14ac:dyDescent="0.3">
      <c r="A223" s="3" t="s">
        <v>478</v>
      </c>
      <c r="B223" t="s">
        <v>92</v>
      </c>
      <c r="C223" t="s">
        <v>99</v>
      </c>
      <c r="D223">
        <v>11</v>
      </c>
      <c r="E223" t="s">
        <v>11</v>
      </c>
      <c r="F223" t="s">
        <v>12</v>
      </c>
      <c r="G223" t="s">
        <v>263</v>
      </c>
      <c r="H223" s="1">
        <v>46569</v>
      </c>
      <c r="I223">
        <v>22</v>
      </c>
      <c r="J223" s="1" t="s">
        <v>538</v>
      </c>
      <c r="K223" t="str">
        <f t="shared" si="3"/>
        <v>Non-Expired</v>
      </c>
    </row>
    <row r="224" spans="1:11" x14ac:dyDescent="0.3">
      <c r="A224" s="3" t="s">
        <v>478</v>
      </c>
      <c r="B224" t="s">
        <v>9</v>
      </c>
      <c r="C224" t="s">
        <v>74</v>
      </c>
      <c r="D224">
        <v>9</v>
      </c>
      <c r="E224" t="s">
        <v>15</v>
      </c>
      <c r="F224" t="s">
        <v>16</v>
      </c>
      <c r="G224" t="s">
        <v>207</v>
      </c>
      <c r="H224" s="1">
        <v>46327</v>
      </c>
      <c r="I224">
        <v>27</v>
      </c>
      <c r="J224" s="1" t="s">
        <v>538</v>
      </c>
      <c r="K224" t="str">
        <f t="shared" si="3"/>
        <v>Non-Expired</v>
      </c>
    </row>
    <row r="225" spans="1:11" x14ac:dyDescent="0.3">
      <c r="A225" s="3" t="s">
        <v>478</v>
      </c>
      <c r="B225" t="s">
        <v>9</v>
      </c>
      <c r="C225" t="s">
        <v>32</v>
      </c>
      <c r="D225">
        <v>2</v>
      </c>
      <c r="E225" t="s">
        <v>20</v>
      </c>
      <c r="F225" t="s">
        <v>21</v>
      </c>
      <c r="G225" t="s">
        <v>258</v>
      </c>
      <c r="H225" s="1">
        <v>46143</v>
      </c>
      <c r="I225">
        <v>16</v>
      </c>
      <c r="J225" s="1" t="s">
        <v>538</v>
      </c>
      <c r="K225" t="str">
        <f t="shared" si="3"/>
        <v>Non-Expired</v>
      </c>
    </row>
    <row r="226" spans="1:11" x14ac:dyDescent="0.3">
      <c r="A226" s="3" t="s">
        <v>479</v>
      </c>
      <c r="B226" t="s">
        <v>90</v>
      </c>
      <c r="C226" t="s">
        <v>99</v>
      </c>
      <c r="D226">
        <v>28</v>
      </c>
      <c r="E226" t="s">
        <v>25</v>
      </c>
      <c r="F226" t="s">
        <v>26</v>
      </c>
      <c r="G226" t="s">
        <v>129</v>
      </c>
      <c r="H226" s="1">
        <v>45444</v>
      </c>
      <c r="I226">
        <v>84</v>
      </c>
      <c r="J226" s="1" t="s">
        <v>538</v>
      </c>
      <c r="K226" t="str">
        <f t="shared" si="3"/>
        <v>Expired</v>
      </c>
    </row>
    <row r="227" spans="1:11" x14ac:dyDescent="0.3">
      <c r="A227" s="3" t="s">
        <v>479</v>
      </c>
      <c r="B227" t="s">
        <v>80</v>
      </c>
      <c r="C227" t="s">
        <v>154</v>
      </c>
      <c r="D227">
        <v>26</v>
      </c>
      <c r="E227" t="s">
        <v>28</v>
      </c>
      <c r="F227" t="s">
        <v>29</v>
      </c>
      <c r="G227" t="s">
        <v>235</v>
      </c>
      <c r="H227" s="1">
        <v>46631</v>
      </c>
      <c r="I227">
        <v>104</v>
      </c>
      <c r="J227" s="1" t="s">
        <v>538</v>
      </c>
      <c r="K227" t="str">
        <f t="shared" si="3"/>
        <v>Non-Expired</v>
      </c>
    </row>
    <row r="228" spans="1:11" x14ac:dyDescent="0.3">
      <c r="A228" s="3" t="s">
        <v>479</v>
      </c>
      <c r="B228" t="s">
        <v>23</v>
      </c>
      <c r="C228" t="s">
        <v>107</v>
      </c>
      <c r="D228">
        <v>9</v>
      </c>
      <c r="E228" t="s">
        <v>33</v>
      </c>
      <c r="F228" t="s">
        <v>34</v>
      </c>
      <c r="G228" t="s">
        <v>111</v>
      </c>
      <c r="H228" s="1">
        <v>46631</v>
      </c>
      <c r="I228">
        <v>45</v>
      </c>
      <c r="J228" s="1" t="s">
        <v>538</v>
      </c>
      <c r="K228" t="str">
        <f t="shared" si="3"/>
        <v>Non-Expired</v>
      </c>
    </row>
    <row r="229" spans="1:11" x14ac:dyDescent="0.3">
      <c r="A229" s="3" t="s">
        <v>479</v>
      </c>
      <c r="B229" t="s">
        <v>9</v>
      </c>
      <c r="C229" t="s">
        <v>128</v>
      </c>
      <c r="D229">
        <v>9</v>
      </c>
      <c r="E229" t="s">
        <v>36</v>
      </c>
      <c r="F229" t="s">
        <v>37</v>
      </c>
      <c r="G229" t="s">
        <v>182</v>
      </c>
      <c r="H229" s="1">
        <v>46661</v>
      </c>
      <c r="I229">
        <v>54</v>
      </c>
      <c r="J229" s="1" t="s">
        <v>538</v>
      </c>
      <c r="K229" t="str">
        <f t="shared" si="3"/>
        <v>Non-Expired</v>
      </c>
    </row>
    <row r="230" spans="1:11" x14ac:dyDescent="0.3">
      <c r="A230" s="3" t="s">
        <v>479</v>
      </c>
      <c r="B230" t="s">
        <v>23</v>
      </c>
      <c r="C230" t="s">
        <v>32</v>
      </c>
      <c r="D230">
        <v>20</v>
      </c>
      <c r="E230" t="s">
        <v>41</v>
      </c>
      <c r="F230" t="s">
        <v>12</v>
      </c>
      <c r="G230" t="s">
        <v>238</v>
      </c>
      <c r="H230" s="1">
        <v>46692</v>
      </c>
      <c r="I230">
        <v>80</v>
      </c>
      <c r="J230" s="1" t="s">
        <v>538</v>
      </c>
      <c r="K230" t="str">
        <f t="shared" si="3"/>
        <v>Non-Expired</v>
      </c>
    </row>
    <row r="231" spans="1:11" x14ac:dyDescent="0.3">
      <c r="A231" s="3" t="s">
        <v>479</v>
      </c>
      <c r="B231" t="s">
        <v>9</v>
      </c>
      <c r="C231" t="s">
        <v>203</v>
      </c>
      <c r="D231">
        <v>2</v>
      </c>
      <c r="E231" t="s">
        <v>45</v>
      </c>
      <c r="F231" t="s">
        <v>16</v>
      </c>
      <c r="G231" t="s">
        <v>264</v>
      </c>
      <c r="H231" s="1">
        <v>46357</v>
      </c>
      <c r="I231">
        <v>20</v>
      </c>
      <c r="J231" s="1" t="s">
        <v>538</v>
      </c>
      <c r="K231" t="str">
        <f t="shared" si="3"/>
        <v>Non-Expired</v>
      </c>
    </row>
    <row r="232" spans="1:11" x14ac:dyDescent="0.3">
      <c r="A232" s="3" t="s">
        <v>479</v>
      </c>
      <c r="B232" t="s">
        <v>9</v>
      </c>
      <c r="C232" t="s">
        <v>203</v>
      </c>
      <c r="D232">
        <v>9</v>
      </c>
      <c r="E232" t="s">
        <v>49</v>
      </c>
      <c r="F232" t="s">
        <v>50</v>
      </c>
      <c r="G232" t="s">
        <v>265</v>
      </c>
      <c r="H232" s="1">
        <v>45658</v>
      </c>
      <c r="I232">
        <v>45</v>
      </c>
      <c r="J232" s="1" t="s">
        <v>538</v>
      </c>
      <c r="K232" t="str">
        <f t="shared" si="3"/>
        <v>Expired</v>
      </c>
    </row>
    <row r="233" spans="1:11" x14ac:dyDescent="0.3">
      <c r="A233" s="3" t="s">
        <v>479</v>
      </c>
      <c r="B233" t="s">
        <v>9</v>
      </c>
      <c r="C233" t="s">
        <v>88</v>
      </c>
      <c r="D233">
        <v>10</v>
      </c>
      <c r="E233" t="s">
        <v>52</v>
      </c>
      <c r="F233" t="s">
        <v>53</v>
      </c>
      <c r="G233" t="s">
        <v>137</v>
      </c>
      <c r="H233" s="1">
        <v>46508</v>
      </c>
      <c r="I233">
        <v>20</v>
      </c>
      <c r="J233" s="1" t="s">
        <v>538</v>
      </c>
      <c r="K233" t="str">
        <f t="shared" si="3"/>
        <v>Non-Expired</v>
      </c>
    </row>
    <row r="234" spans="1:11" x14ac:dyDescent="0.3">
      <c r="A234" s="3" t="s">
        <v>480</v>
      </c>
      <c r="B234" t="s">
        <v>39</v>
      </c>
      <c r="C234" t="s">
        <v>107</v>
      </c>
      <c r="D234">
        <v>8</v>
      </c>
      <c r="E234" t="s">
        <v>56</v>
      </c>
      <c r="F234" t="s">
        <v>53</v>
      </c>
      <c r="G234" t="s">
        <v>138</v>
      </c>
      <c r="H234" s="1">
        <v>46174</v>
      </c>
      <c r="I234">
        <v>80</v>
      </c>
      <c r="J234" s="1" t="s">
        <v>538</v>
      </c>
      <c r="K234" t="str">
        <f t="shared" si="3"/>
        <v>Non-Expired</v>
      </c>
    </row>
    <row r="235" spans="1:11" x14ac:dyDescent="0.3">
      <c r="A235" s="3" t="s">
        <v>480</v>
      </c>
      <c r="B235" t="s">
        <v>47</v>
      </c>
      <c r="C235" t="s">
        <v>112</v>
      </c>
      <c r="D235">
        <v>7</v>
      </c>
      <c r="E235" t="s">
        <v>60</v>
      </c>
      <c r="F235" t="s">
        <v>61</v>
      </c>
      <c r="G235" t="s">
        <v>188</v>
      </c>
      <c r="H235" s="1">
        <v>46266</v>
      </c>
      <c r="I235">
        <v>840</v>
      </c>
      <c r="J235" s="1" t="s">
        <v>538</v>
      </c>
      <c r="K235" t="str">
        <f t="shared" si="3"/>
        <v>Non-Expired</v>
      </c>
    </row>
    <row r="236" spans="1:11" x14ac:dyDescent="0.3">
      <c r="A236" s="3" t="s">
        <v>480</v>
      </c>
      <c r="B236" t="s">
        <v>31</v>
      </c>
      <c r="C236" t="s">
        <v>19</v>
      </c>
      <c r="D236">
        <v>9</v>
      </c>
      <c r="E236" t="s">
        <v>63</v>
      </c>
      <c r="F236" t="s">
        <v>50</v>
      </c>
      <c r="G236" t="s">
        <v>266</v>
      </c>
      <c r="H236" s="1">
        <v>46478</v>
      </c>
      <c r="I236">
        <v>180</v>
      </c>
      <c r="J236" s="1" t="s">
        <v>538</v>
      </c>
      <c r="K236" t="str">
        <f t="shared" si="3"/>
        <v>Non-Expired</v>
      </c>
    </row>
    <row r="237" spans="1:11" x14ac:dyDescent="0.3">
      <c r="A237" s="3" t="s">
        <v>480</v>
      </c>
      <c r="B237" t="s">
        <v>85</v>
      </c>
      <c r="C237" t="s">
        <v>107</v>
      </c>
      <c r="D237">
        <v>2</v>
      </c>
      <c r="E237" t="s">
        <v>67</v>
      </c>
      <c r="F237" t="s">
        <v>68</v>
      </c>
      <c r="G237" t="s">
        <v>202</v>
      </c>
      <c r="H237" s="1">
        <v>46447</v>
      </c>
      <c r="I237">
        <v>60</v>
      </c>
      <c r="J237" s="1" t="s">
        <v>538</v>
      </c>
      <c r="K237" t="str">
        <f t="shared" si="3"/>
        <v>Non-Expired</v>
      </c>
    </row>
    <row r="238" spans="1:11" x14ac:dyDescent="0.3">
      <c r="A238" s="3" t="s">
        <v>480</v>
      </c>
      <c r="B238" t="s">
        <v>80</v>
      </c>
      <c r="C238" t="s">
        <v>88</v>
      </c>
      <c r="D238">
        <v>8</v>
      </c>
      <c r="E238" t="s">
        <v>71</v>
      </c>
      <c r="F238" t="s">
        <v>72</v>
      </c>
      <c r="G238" t="s">
        <v>267</v>
      </c>
      <c r="H238" s="1">
        <v>45778</v>
      </c>
      <c r="I238">
        <v>320</v>
      </c>
      <c r="J238" s="1" t="s">
        <v>538</v>
      </c>
      <c r="K238" t="str">
        <f t="shared" si="3"/>
        <v>Expired</v>
      </c>
    </row>
    <row r="239" spans="1:11" x14ac:dyDescent="0.3">
      <c r="A239" s="3" t="s">
        <v>480</v>
      </c>
      <c r="B239" t="s">
        <v>9</v>
      </c>
      <c r="C239" t="s">
        <v>10</v>
      </c>
      <c r="D239">
        <v>25</v>
      </c>
      <c r="E239" t="s">
        <v>75</v>
      </c>
      <c r="F239" t="s">
        <v>16</v>
      </c>
      <c r="G239" t="s">
        <v>268</v>
      </c>
      <c r="H239" s="1">
        <v>46143</v>
      </c>
      <c r="I239">
        <v>1250</v>
      </c>
      <c r="J239" s="1" t="s">
        <v>538</v>
      </c>
      <c r="K239" t="str">
        <f t="shared" si="3"/>
        <v>Non-Expired</v>
      </c>
    </row>
    <row r="240" spans="1:11" x14ac:dyDescent="0.3">
      <c r="A240" s="3" t="s">
        <v>480</v>
      </c>
      <c r="B240" t="s">
        <v>23</v>
      </c>
      <c r="C240" t="s">
        <v>101</v>
      </c>
      <c r="D240">
        <v>30</v>
      </c>
      <c r="E240" t="s">
        <v>11</v>
      </c>
      <c r="F240" t="s">
        <v>12</v>
      </c>
      <c r="G240" t="s">
        <v>177</v>
      </c>
      <c r="H240" s="1">
        <v>46082</v>
      </c>
      <c r="I240">
        <v>60</v>
      </c>
      <c r="J240" s="1" t="s">
        <v>538</v>
      </c>
      <c r="K240" t="str">
        <f t="shared" si="3"/>
        <v>Non-Expired</v>
      </c>
    </row>
    <row r="241" spans="1:11" x14ac:dyDescent="0.3">
      <c r="A241" s="3" t="s">
        <v>480</v>
      </c>
      <c r="B241" t="s">
        <v>43</v>
      </c>
      <c r="C241" t="s">
        <v>14</v>
      </c>
      <c r="D241">
        <v>11</v>
      </c>
      <c r="E241" t="s">
        <v>15</v>
      </c>
      <c r="F241" t="s">
        <v>16</v>
      </c>
      <c r="G241" t="s">
        <v>193</v>
      </c>
      <c r="H241" s="1">
        <v>46204</v>
      </c>
      <c r="I241">
        <v>33</v>
      </c>
      <c r="J241" s="1" t="s">
        <v>538</v>
      </c>
      <c r="K241" t="str">
        <f t="shared" si="3"/>
        <v>Non-Expired</v>
      </c>
    </row>
    <row r="242" spans="1:11" x14ac:dyDescent="0.3">
      <c r="A242" s="3" t="s">
        <v>481</v>
      </c>
      <c r="B242" t="s">
        <v>58</v>
      </c>
      <c r="C242" t="s">
        <v>139</v>
      </c>
      <c r="D242">
        <v>21</v>
      </c>
      <c r="E242" t="s">
        <v>20</v>
      </c>
      <c r="F242" t="s">
        <v>21</v>
      </c>
      <c r="G242" t="s">
        <v>22</v>
      </c>
      <c r="H242" s="1">
        <v>46419</v>
      </c>
      <c r="I242">
        <v>168</v>
      </c>
      <c r="J242" s="1" t="s">
        <v>538</v>
      </c>
      <c r="K242" t="str">
        <f t="shared" si="3"/>
        <v>Non-Expired</v>
      </c>
    </row>
    <row r="243" spans="1:11" x14ac:dyDescent="0.3">
      <c r="A243" s="3" t="s">
        <v>481</v>
      </c>
      <c r="B243" t="s">
        <v>92</v>
      </c>
      <c r="C243" t="s">
        <v>48</v>
      </c>
      <c r="D243">
        <v>12</v>
      </c>
      <c r="E243" t="s">
        <v>25</v>
      </c>
      <c r="F243" t="s">
        <v>26</v>
      </c>
      <c r="G243" t="s">
        <v>269</v>
      </c>
      <c r="H243" s="1">
        <v>46235</v>
      </c>
      <c r="I243">
        <v>36</v>
      </c>
      <c r="J243" s="1" t="s">
        <v>538</v>
      </c>
      <c r="K243" t="str">
        <f t="shared" si="3"/>
        <v>Non-Expired</v>
      </c>
    </row>
    <row r="244" spans="1:11" x14ac:dyDescent="0.3">
      <c r="A244" s="3" t="s">
        <v>481</v>
      </c>
      <c r="B244" t="s">
        <v>39</v>
      </c>
      <c r="C244" t="s">
        <v>19</v>
      </c>
      <c r="D244">
        <v>10</v>
      </c>
      <c r="E244" t="s">
        <v>28</v>
      </c>
      <c r="F244" t="s">
        <v>29</v>
      </c>
      <c r="G244" t="s">
        <v>130</v>
      </c>
      <c r="H244" s="1">
        <v>46419</v>
      </c>
      <c r="I244">
        <v>40</v>
      </c>
      <c r="J244" s="1" t="s">
        <v>538</v>
      </c>
      <c r="K244" t="str">
        <f t="shared" si="3"/>
        <v>Non-Expired</v>
      </c>
    </row>
    <row r="245" spans="1:11" x14ac:dyDescent="0.3">
      <c r="A245" s="3" t="s">
        <v>481</v>
      </c>
      <c r="B245" t="s">
        <v>9</v>
      </c>
      <c r="C245" t="s">
        <v>88</v>
      </c>
      <c r="D245">
        <v>28</v>
      </c>
      <c r="E245" t="s">
        <v>33</v>
      </c>
      <c r="F245" t="s">
        <v>34</v>
      </c>
      <c r="G245" t="s">
        <v>212</v>
      </c>
      <c r="H245" s="1">
        <v>45717</v>
      </c>
      <c r="I245">
        <v>140</v>
      </c>
      <c r="J245" s="1" t="s">
        <v>538</v>
      </c>
      <c r="K245" t="str">
        <f t="shared" si="3"/>
        <v>Expired</v>
      </c>
    </row>
    <row r="246" spans="1:11" x14ac:dyDescent="0.3">
      <c r="A246" s="3" t="s">
        <v>481</v>
      </c>
      <c r="B246" t="s">
        <v>47</v>
      </c>
      <c r="C246" t="s">
        <v>214</v>
      </c>
      <c r="D246">
        <v>9</v>
      </c>
      <c r="E246" t="s">
        <v>36</v>
      </c>
      <c r="F246" t="s">
        <v>37</v>
      </c>
      <c r="G246" t="s">
        <v>270</v>
      </c>
      <c r="H246" s="1">
        <v>46082</v>
      </c>
      <c r="I246">
        <v>54</v>
      </c>
      <c r="J246" s="1" t="s">
        <v>538</v>
      </c>
      <c r="K246" t="str">
        <f t="shared" si="3"/>
        <v>Non-Expired</v>
      </c>
    </row>
    <row r="247" spans="1:11" x14ac:dyDescent="0.3">
      <c r="A247" s="3" t="s">
        <v>481</v>
      </c>
      <c r="B247" t="s">
        <v>85</v>
      </c>
      <c r="C247" t="s">
        <v>103</v>
      </c>
      <c r="D247">
        <v>3</v>
      </c>
      <c r="E247" t="s">
        <v>41</v>
      </c>
      <c r="F247" t="s">
        <v>12</v>
      </c>
      <c r="G247" t="s">
        <v>271</v>
      </c>
      <c r="H247" s="1">
        <v>46054</v>
      </c>
      <c r="I247">
        <v>12</v>
      </c>
      <c r="J247" s="1" t="s">
        <v>538</v>
      </c>
      <c r="K247" t="str">
        <f t="shared" si="3"/>
        <v>Non-Expired</v>
      </c>
    </row>
    <row r="248" spans="1:11" x14ac:dyDescent="0.3">
      <c r="A248" s="3" t="s">
        <v>481</v>
      </c>
      <c r="B248" t="s">
        <v>9</v>
      </c>
      <c r="C248" t="s">
        <v>99</v>
      </c>
      <c r="D248">
        <v>26</v>
      </c>
      <c r="E248" t="s">
        <v>45</v>
      </c>
      <c r="F248" t="s">
        <v>16</v>
      </c>
      <c r="G248" t="s">
        <v>264</v>
      </c>
      <c r="H248" s="1">
        <v>46478</v>
      </c>
      <c r="I248">
        <v>260</v>
      </c>
      <c r="J248" s="1" t="s">
        <v>538</v>
      </c>
      <c r="K248" t="str">
        <f t="shared" si="3"/>
        <v>Non-Expired</v>
      </c>
    </row>
    <row r="249" spans="1:11" x14ac:dyDescent="0.3">
      <c r="A249" s="3" t="s">
        <v>481</v>
      </c>
      <c r="B249" t="s">
        <v>18</v>
      </c>
      <c r="C249" t="s">
        <v>101</v>
      </c>
      <c r="D249">
        <v>26</v>
      </c>
      <c r="E249" t="s">
        <v>49</v>
      </c>
      <c r="F249" t="s">
        <v>50</v>
      </c>
      <c r="G249" t="s">
        <v>272</v>
      </c>
      <c r="H249" s="1">
        <v>46419</v>
      </c>
      <c r="I249">
        <v>130</v>
      </c>
      <c r="J249" s="1" t="s">
        <v>538</v>
      </c>
      <c r="K249" t="str">
        <f t="shared" si="3"/>
        <v>Non-Expired</v>
      </c>
    </row>
    <row r="250" spans="1:11" x14ac:dyDescent="0.3">
      <c r="A250" s="3">
        <v>45659</v>
      </c>
      <c r="B250" t="s">
        <v>47</v>
      </c>
      <c r="C250" t="s">
        <v>173</v>
      </c>
      <c r="D250">
        <v>27</v>
      </c>
      <c r="E250" t="s">
        <v>52</v>
      </c>
      <c r="F250" t="s">
        <v>53</v>
      </c>
      <c r="G250" t="s">
        <v>273</v>
      </c>
      <c r="H250" s="1">
        <v>46600</v>
      </c>
      <c r="I250">
        <v>54</v>
      </c>
      <c r="J250" s="1" t="s">
        <v>539</v>
      </c>
      <c r="K250" t="str">
        <f t="shared" si="3"/>
        <v>Non-Expired</v>
      </c>
    </row>
    <row r="251" spans="1:11" x14ac:dyDescent="0.3">
      <c r="A251" s="3">
        <v>45659</v>
      </c>
      <c r="B251" t="s">
        <v>58</v>
      </c>
      <c r="C251" t="s">
        <v>180</v>
      </c>
      <c r="D251">
        <v>23</v>
      </c>
      <c r="E251" t="s">
        <v>56</v>
      </c>
      <c r="F251" t="s">
        <v>53</v>
      </c>
      <c r="G251" t="s">
        <v>274</v>
      </c>
      <c r="H251" s="1">
        <v>46447</v>
      </c>
      <c r="I251">
        <v>230</v>
      </c>
      <c r="J251" s="1" t="s">
        <v>539</v>
      </c>
      <c r="K251" t="str">
        <f t="shared" si="3"/>
        <v>Non-Expired</v>
      </c>
    </row>
    <row r="252" spans="1:11" x14ac:dyDescent="0.3">
      <c r="A252" s="3">
        <v>45659</v>
      </c>
      <c r="B252" t="s">
        <v>18</v>
      </c>
      <c r="C252" t="s">
        <v>74</v>
      </c>
      <c r="D252">
        <v>27</v>
      </c>
      <c r="E252" t="s">
        <v>60</v>
      </c>
      <c r="F252" t="s">
        <v>61</v>
      </c>
      <c r="G252" t="s">
        <v>157</v>
      </c>
      <c r="H252" s="1">
        <v>45717</v>
      </c>
      <c r="I252">
        <v>3240</v>
      </c>
      <c r="J252" s="1" t="s">
        <v>539</v>
      </c>
      <c r="K252" t="str">
        <f t="shared" si="3"/>
        <v>Expired</v>
      </c>
    </row>
    <row r="253" spans="1:11" x14ac:dyDescent="0.3">
      <c r="A253" s="3">
        <v>45659</v>
      </c>
      <c r="B253" t="s">
        <v>23</v>
      </c>
      <c r="C253" t="s">
        <v>101</v>
      </c>
      <c r="D253">
        <v>9</v>
      </c>
      <c r="E253" t="s">
        <v>63</v>
      </c>
      <c r="F253" t="s">
        <v>50</v>
      </c>
      <c r="G253" t="s">
        <v>275</v>
      </c>
      <c r="H253" s="1">
        <v>46692</v>
      </c>
      <c r="I253">
        <v>180</v>
      </c>
      <c r="J253" s="1" t="s">
        <v>539</v>
      </c>
      <c r="K253" t="str">
        <f t="shared" si="3"/>
        <v>Non-Expired</v>
      </c>
    </row>
    <row r="254" spans="1:11" x14ac:dyDescent="0.3">
      <c r="A254" s="3">
        <v>45659</v>
      </c>
      <c r="B254" t="s">
        <v>9</v>
      </c>
      <c r="C254" t="s">
        <v>55</v>
      </c>
      <c r="D254">
        <v>13</v>
      </c>
      <c r="E254" t="s">
        <v>67</v>
      </c>
      <c r="F254" t="s">
        <v>68</v>
      </c>
      <c r="G254" t="s">
        <v>276</v>
      </c>
      <c r="H254" s="1">
        <v>46113</v>
      </c>
      <c r="I254">
        <v>390</v>
      </c>
      <c r="J254" s="1" t="s">
        <v>539</v>
      </c>
      <c r="K254" t="str">
        <f t="shared" si="3"/>
        <v>Non-Expired</v>
      </c>
    </row>
    <row r="255" spans="1:11" x14ac:dyDescent="0.3">
      <c r="A255" s="3">
        <v>45659</v>
      </c>
      <c r="B255" t="s">
        <v>92</v>
      </c>
      <c r="C255" t="s">
        <v>99</v>
      </c>
      <c r="D255">
        <v>7</v>
      </c>
      <c r="E255" t="s">
        <v>71</v>
      </c>
      <c r="F255" t="s">
        <v>72</v>
      </c>
      <c r="G255" t="s">
        <v>102</v>
      </c>
      <c r="H255" s="1">
        <v>46661</v>
      </c>
      <c r="I255">
        <v>280</v>
      </c>
      <c r="J255" s="1" t="s">
        <v>539</v>
      </c>
      <c r="K255" t="str">
        <f t="shared" si="3"/>
        <v>Non-Expired</v>
      </c>
    </row>
    <row r="256" spans="1:11" x14ac:dyDescent="0.3">
      <c r="A256" s="3">
        <v>45659</v>
      </c>
      <c r="B256" t="s">
        <v>80</v>
      </c>
      <c r="C256" t="s">
        <v>107</v>
      </c>
      <c r="D256">
        <v>24</v>
      </c>
      <c r="E256" t="s">
        <v>75</v>
      </c>
      <c r="F256" t="s">
        <v>16</v>
      </c>
      <c r="G256" t="s">
        <v>262</v>
      </c>
      <c r="H256" s="1">
        <v>46722</v>
      </c>
      <c r="I256">
        <v>1200</v>
      </c>
      <c r="J256" s="1" t="s">
        <v>539</v>
      </c>
      <c r="K256" t="str">
        <f t="shared" si="3"/>
        <v>Non-Expired</v>
      </c>
    </row>
    <row r="257" spans="1:11" x14ac:dyDescent="0.3">
      <c r="A257" s="3">
        <v>45659</v>
      </c>
      <c r="B257" t="s">
        <v>31</v>
      </c>
      <c r="C257" t="s">
        <v>203</v>
      </c>
      <c r="D257">
        <v>16</v>
      </c>
      <c r="E257" t="s">
        <v>11</v>
      </c>
      <c r="F257" t="s">
        <v>12</v>
      </c>
      <c r="G257" t="s">
        <v>277</v>
      </c>
      <c r="H257" s="1">
        <v>46722</v>
      </c>
      <c r="I257">
        <v>32</v>
      </c>
      <c r="J257" s="1" t="s">
        <v>539</v>
      </c>
      <c r="K257" t="str">
        <f t="shared" si="3"/>
        <v>Non-Expired</v>
      </c>
    </row>
    <row r="258" spans="1:11" x14ac:dyDescent="0.3">
      <c r="A258" s="3">
        <v>45690</v>
      </c>
      <c r="B258" t="s">
        <v>90</v>
      </c>
      <c r="C258" t="s">
        <v>180</v>
      </c>
      <c r="D258">
        <v>23</v>
      </c>
      <c r="E258" t="s">
        <v>15</v>
      </c>
      <c r="F258" t="s">
        <v>16</v>
      </c>
      <c r="G258" t="s">
        <v>233</v>
      </c>
      <c r="H258" s="1">
        <v>46569</v>
      </c>
      <c r="I258">
        <v>69</v>
      </c>
      <c r="J258" s="1" t="s">
        <v>539</v>
      </c>
      <c r="K258" t="str">
        <f t="shared" si="3"/>
        <v>Non-Expired</v>
      </c>
    </row>
    <row r="259" spans="1:11" x14ac:dyDescent="0.3">
      <c r="A259" s="3">
        <v>45690</v>
      </c>
      <c r="B259" t="s">
        <v>80</v>
      </c>
      <c r="C259" t="s">
        <v>99</v>
      </c>
      <c r="D259">
        <v>20</v>
      </c>
      <c r="E259" t="s">
        <v>20</v>
      </c>
      <c r="F259" t="s">
        <v>21</v>
      </c>
      <c r="G259" t="s">
        <v>223</v>
      </c>
      <c r="H259" s="1">
        <v>46082</v>
      </c>
      <c r="I259">
        <v>160</v>
      </c>
      <c r="J259" s="1" t="s">
        <v>539</v>
      </c>
      <c r="K259" t="str">
        <f t="shared" ref="K259:K322" si="4">IF(H259&lt;=DATE(2025,5,5),"Expired","Non-Expired")</f>
        <v>Non-Expired</v>
      </c>
    </row>
    <row r="260" spans="1:11" x14ac:dyDescent="0.3">
      <c r="A260" s="3">
        <v>45690</v>
      </c>
      <c r="B260" t="s">
        <v>85</v>
      </c>
      <c r="C260" t="s">
        <v>112</v>
      </c>
      <c r="D260">
        <v>12</v>
      </c>
      <c r="E260" t="s">
        <v>25</v>
      </c>
      <c r="F260" t="s">
        <v>26</v>
      </c>
      <c r="G260" t="s">
        <v>147</v>
      </c>
      <c r="H260" s="1">
        <v>45200</v>
      </c>
      <c r="I260">
        <v>36</v>
      </c>
      <c r="J260" s="1" t="s">
        <v>539</v>
      </c>
      <c r="K260" t="str">
        <f t="shared" si="4"/>
        <v>Expired</v>
      </c>
    </row>
    <row r="261" spans="1:11" x14ac:dyDescent="0.3">
      <c r="A261" s="3">
        <v>45690</v>
      </c>
      <c r="B261" t="s">
        <v>23</v>
      </c>
      <c r="C261" t="s">
        <v>40</v>
      </c>
      <c r="D261">
        <v>24</v>
      </c>
      <c r="E261" t="s">
        <v>28</v>
      </c>
      <c r="F261" t="s">
        <v>29</v>
      </c>
      <c r="G261" t="s">
        <v>278</v>
      </c>
      <c r="H261" s="1">
        <v>46174</v>
      </c>
      <c r="I261">
        <v>96</v>
      </c>
      <c r="J261" s="1" t="s">
        <v>539</v>
      </c>
      <c r="K261" t="str">
        <f t="shared" si="4"/>
        <v>Non-Expired</v>
      </c>
    </row>
    <row r="262" spans="1:11" x14ac:dyDescent="0.3">
      <c r="A262" s="3">
        <v>45690</v>
      </c>
      <c r="B262" t="s">
        <v>9</v>
      </c>
      <c r="C262" t="s">
        <v>162</v>
      </c>
      <c r="D262">
        <v>6</v>
      </c>
      <c r="E262" t="s">
        <v>33</v>
      </c>
      <c r="F262" t="s">
        <v>34</v>
      </c>
      <c r="G262" t="s">
        <v>279</v>
      </c>
      <c r="H262" s="1">
        <v>46569</v>
      </c>
      <c r="I262">
        <v>30</v>
      </c>
      <c r="J262" s="1" t="s">
        <v>539</v>
      </c>
      <c r="K262" t="str">
        <f t="shared" si="4"/>
        <v>Non-Expired</v>
      </c>
    </row>
    <row r="263" spans="1:11" x14ac:dyDescent="0.3">
      <c r="A263" s="3">
        <v>45690</v>
      </c>
      <c r="B263" t="s">
        <v>43</v>
      </c>
      <c r="C263" t="s">
        <v>125</v>
      </c>
      <c r="D263">
        <v>26</v>
      </c>
      <c r="E263" t="s">
        <v>36</v>
      </c>
      <c r="F263" t="s">
        <v>37</v>
      </c>
      <c r="G263" t="s">
        <v>280</v>
      </c>
      <c r="H263" s="1">
        <v>46569</v>
      </c>
      <c r="I263">
        <v>156</v>
      </c>
      <c r="J263" s="1" t="s">
        <v>539</v>
      </c>
      <c r="K263" t="str">
        <f t="shared" si="4"/>
        <v>Non-Expired</v>
      </c>
    </row>
    <row r="264" spans="1:11" x14ac:dyDescent="0.3">
      <c r="A264" s="3">
        <v>45690</v>
      </c>
      <c r="B264" t="s">
        <v>9</v>
      </c>
      <c r="C264" t="s">
        <v>101</v>
      </c>
      <c r="D264">
        <v>13</v>
      </c>
      <c r="E264" t="s">
        <v>41</v>
      </c>
      <c r="F264" t="s">
        <v>12</v>
      </c>
      <c r="G264" t="s">
        <v>281</v>
      </c>
      <c r="H264" s="1">
        <v>46388</v>
      </c>
      <c r="I264">
        <v>52</v>
      </c>
      <c r="J264" s="1" t="s">
        <v>539</v>
      </c>
      <c r="K264" t="str">
        <f t="shared" si="4"/>
        <v>Non-Expired</v>
      </c>
    </row>
    <row r="265" spans="1:11" x14ac:dyDescent="0.3">
      <c r="A265" s="3">
        <v>45690</v>
      </c>
      <c r="B265" t="s">
        <v>80</v>
      </c>
      <c r="C265" t="s">
        <v>149</v>
      </c>
      <c r="D265">
        <v>28</v>
      </c>
      <c r="E265" t="s">
        <v>45</v>
      </c>
      <c r="F265" t="s">
        <v>16</v>
      </c>
      <c r="G265" t="s">
        <v>46</v>
      </c>
      <c r="H265" s="1">
        <v>46082</v>
      </c>
      <c r="I265">
        <v>280</v>
      </c>
      <c r="J265" s="1" t="s">
        <v>539</v>
      </c>
      <c r="K265" t="str">
        <f t="shared" si="4"/>
        <v>Non-Expired</v>
      </c>
    </row>
    <row r="266" spans="1:11" x14ac:dyDescent="0.3">
      <c r="A266" s="3">
        <v>45718</v>
      </c>
      <c r="B266" t="s">
        <v>9</v>
      </c>
      <c r="C266" t="s">
        <v>170</v>
      </c>
      <c r="D266">
        <v>28</v>
      </c>
      <c r="E266" t="s">
        <v>49</v>
      </c>
      <c r="F266" t="s">
        <v>50</v>
      </c>
      <c r="G266" t="s">
        <v>282</v>
      </c>
      <c r="H266" s="1">
        <v>45658</v>
      </c>
      <c r="I266">
        <v>140</v>
      </c>
      <c r="J266" s="1" t="s">
        <v>539</v>
      </c>
      <c r="K266" t="str">
        <f t="shared" si="4"/>
        <v>Expired</v>
      </c>
    </row>
    <row r="267" spans="1:11" x14ac:dyDescent="0.3">
      <c r="A267" s="3">
        <v>45718</v>
      </c>
      <c r="B267" t="s">
        <v>80</v>
      </c>
      <c r="C267" t="s">
        <v>24</v>
      </c>
      <c r="D267">
        <v>30</v>
      </c>
      <c r="E267" t="s">
        <v>52</v>
      </c>
      <c r="F267" t="s">
        <v>53</v>
      </c>
      <c r="G267" t="s">
        <v>283</v>
      </c>
      <c r="H267" s="1">
        <v>46600</v>
      </c>
      <c r="I267">
        <v>60</v>
      </c>
      <c r="J267" s="1" t="s">
        <v>539</v>
      </c>
      <c r="K267" t="str">
        <f t="shared" si="4"/>
        <v>Non-Expired</v>
      </c>
    </row>
    <row r="268" spans="1:11" x14ac:dyDescent="0.3">
      <c r="A268" s="3">
        <v>45718</v>
      </c>
      <c r="B268" t="s">
        <v>9</v>
      </c>
      <c r="C268" t="s">
        <v>48</v>
      </c>
      <c r="D268">
        <v>19</v>
      </c>
      <c r="E268" t="s">
        <v>56</v>
      </c>
      <c r="F268" t="s">
        <v>53</v>
      </c>
      <c r="G268" t="s">
        <v>156</v>
      </c>
      <c r="H268" s="1">
        <v>46113</v>
      </c>
      <c r="I268">
        <v>190</v>
      </c>
      <c r="J268" s="1" t="s">
        <v>539</v>
      </c>
      <c r="K268" t="str">
        <f t="shared" si="4"/>
        <v>Non-Expired</v>
      </c>
    </row>
    <row r="269" spans="1:11" x14ac:dyDescent="0.3">
      <c r="A269" s="3">
        <v>45718</v>
      </c>
      <c r="B269" t="s">
        <v>47</v>
      </c>
      <c r="C269" t="s">
        <v>173</v>
      </c>
      <c r="D269">
        <v>28</v>
      </c>
      <c r="E269" t="s">
        <v>60</v>
      </c>
      <c r="F269" t="s">
        <v>61</v>
      </c>
      <c r="G269" t="s">
        <v>230</v>
      </c>
      <c r="H269" s="1">
        <v>46296</v>
      </c>
      <c r="I269">
        <v>3360</v>
      </c>
      <c r="J269" s="1" t="s">
        <v>539</v>
      </c>
      <c r="K269" t="str">
        <f t="shared" si="4"/>
        <v>Non-Expired</v>
      </c>
    </row>
    <row r="270" spans="1:11" x14ac:dyDescent="0.3">
      <c r="A270" s="3">
        <v>45718</v>
      </c>
      <c r="B270" t="s">
        <v>65</v>
      </c>
      <c r="C270" t="s">
        <v>55</v>
      </c>
      <c r="D270">
        <v>8</v>
      </c>
      <c r="E270" t="s">
        <v>63</v>
      </c>
      <c r="F270" t="s">
        <v>50</v>
      </c>
      <c r="G270" t="s">
        <v>284</v>
      </c>
      <c r="H270" s="1">
        <v>46266</v>
      </c>
      <c r="I270">
        <v>160</v>
      </c>
      <c r="J270" s="1" t="s">
        <v>539</v>
      </c>
      <c r="K270" t="str">
        <f t="shared" si="4"/>
        <v>Non-Expired</v>
      </c>
    </row>
    <row r="271" spans="1:11" x14ac:dyDescent="0.3">
      <c r="A271" s="3">
        <v>45718</v>
      </c>
      <c r="B271" t="s">
        <v>97</v>
      </c>
      <c r="C271" t="s">
        <v>210</v>
      </c>
      <c r="D271">
        <v>27</v>
      </c>
      <c r="E271" t="s">
        <v>67</v>
      </c>
      <c r="F271" t="s">
        <v>68</v>
      </c>
      <c r="G271" t="s">
        <v>285</v>
      </c>
      <c r="H271" s="1">
        <v>46023</v>
      </c>
      <c r="I271">
        <v>810</v>
      </c>
      <c r="J271" s="1" t="s">
        <v>539</v>
      </c>
      <c r="K271" t="str">
        <f t="shared" si="4"/>
        <v>Non-Expired</v>
      </c>
    </row>
    <row r="272" spans="1:11" x14ac:dyDescent="0.3">
      <c r="A272" s="3">
        <v>45718</v>
      </c>
      <c r="B272" t="s">
        <v>97</v>
      </c>
      <c r="C272" t="s">
        <v>40</v>
      </c>
      <c r="D272">
        <v>28</v>
      </c>
      <c r="E272" t="s">
        <v>71</v>
      </c>
      <c r="F272" t="s">
        <v>72</v>
      </c>
      <c r="G272" t="s">
        <v>286</v>
      </c>
      <c r="H272" s="1">
        <v>45170</v>
      </c>
      <c r="I272">
        <v>1120</v>
      </c>
      <c r="J272" s="1" t="s">
        <v>539</v>
      </c>
      <c r="K272" t="str">
        <f t="shared" si="4"/>
        <v>Expired</v>
      </c>
    </row>
    <row r="273" spans="1:11" x14ac:dyDescent="0.3">
      <c r="A273" s="3">
        <v>45718</v>
      </c>
      <c r="B273" t="s">
        <v>31</v>
      </c>
      <c r="C273" t="s">
        <v>107</v>
      </c>
      <c r="D273">
        <v>22</v>
      </c>
      <c r="E273" t="s">
        <v>75</v>
      </c>
      <c r="F273" t="s">
        <v>16</v>
      </c>
      <c r="G273" t="s">
        <v>191</v>
      </c>
      <c r="H273" s="1">
        <v>46023</v>
      </c>
      <c r="I273">
        <v>1100</v>
      </c>
      <c r="J273" s="1" t="s">
        <v>539</v>
      </c>
      <c r="K273" t="str">
        <f t="shared" si="4"/>
        <v>Non-Expired</v>
      </c>
    </row>
    <row r="274" spans="1:11" x14ac:dyDescent="0.3">
      <c r="A274" s="3">
        <v>45749</v>
      </c>
      <c r="B274" t="s">
        <v>9</v>
      </c>
      <c r="C274" t="s">
        <v>214</v>
      </c>
      <c r="D274">
        <v>17</v>
      </c>
      <c r="E274" t="s">
        <v>11</v>
      </c>
      <c r="F274" t="s">
        <v>12</v>
      </c>
      <c r="G274" t="s">
        <v>13</v>
      </c>
      <c r="H274" s="1">
        <v>46784</v>
      </c>
      <c r="I274">
        <v>34</v>
      </c>
      <c r="J274" s="1" t="s">
        <v>539</v>
      </c>
      <c r="K274" t="str">
        <f t="shared" si="4"/>
        <v>Non-Expired</v>
      </c>
    </row>
    <row r="275" spans="1:11" x14ac:dyDescent="0.3">
      <c r="A275" s="3">
        <v>45749</v>
      </c>
      <c r="B275" t="s">
        <v>97</v>
      </c>
      <c r="C275" t="s">
        <v>14</v>
      </c>
      <c r="D275">
        <v>3</v>
      </c>
      <c r="E275" t="s">
        <v>15</v>
      </c>
      <c r="F275" t="s">
        <v>16</v>
      </c>
      <c r="G275" t="s">
        <v>222</v>
      </c>
      <c r="H275" s="1">
        <v>46388</v>
      </c>
      <c r="I275">
        <v>9</v>
      </c>
      <c r="J275" s="1" t="s">
        <v>539</v>
      </c>
      <c r="K275" t="str">
        <f t="shared" si="4"/>
        <v>Non-Expired</v>
      </c>
    </row>
    <row r="276" spans="1:11" x14ac:dyDescent="0.3">
      <c r="A276" s="3">
        <v>45749</v>
      </c>
      <c r="B276" t="s">
        <v>9</v>
      </c>
      <c r="C276" t="s">
        <v>55</v>
      </c>
      <c r="D276">
        <v>26</v>
      </c>
      <c r="E276" t="s">
        <v>20</v>
      </c>
      <c r="F276" t="s">
        <v>21</v>
      </c>
      <c r="G276" t="s">
        <v>179</v>
      </c>
      <c r="H276" s="1">
        <v>46692</v>
      </c>
      <c r="I276">
        <v>208</v>
      </c>
      <c r="J276" s="1" t="s">
        <v>539</v>
      </c>
      <c r="K276" t="str">
        <f t="shared" si="4"/>
        <v>Non-Expired</v>
      </c>
    </row>
    <row r="277" spans="1:11" x14ac:dyDescent="0.3">
      <c r="A277" s="3">
        <v>45749</v>
      </c>
      <c r="B277" t="s">
        <v>43</v>
      </c>
      <c r="C277" t="s">
        <v>173</v>
      </c>
      <c r="D277">
        <v>9</v>
      </c>
      <c r="E277" t="s">
        <v>25</v>
      </c>
      <c r="F277" t="s">
        <v>26</v>
      </c>
      <c r="G277" t="s">
        <v>287</v>
      </c>
      <c r="H277" s="1">
        <v>46600</v>
      </c>
      <c r="I277">
        <v>27</v>
      </c>
      <c r="J277" s="1" t="s">
        <v>539</v>
      </c>
      <c r="K277" t="str">
        <f t="shared" si="4"/>
        <v>Non-Expired</v>
      </c>
    </row>
    <row r="278" spans="1:11" x14ac:dyDescent="0.3">
      <c r="A278" s="3">
        <v>45749</v>
      </c>
      <c r="B278" t="s">
        <v>85</v>
      </c>
      <c r="C278" t="s">
        <v>32</v>
      </c>
      <c r="D278">
        <v>24</v>
      </c>
      <c r="E278" t="s">
        <v>28</v>
      </c>
      <c r="F278" t="s">
        <v>29</v>
      </c>
      <c r="G278" t="s">
        <v>130</v>
      </c>
      <c r="H278" s="1">
        <v>46661</v>
      </c>
      <c r="I278">
        <v>96</v>
      </c>
      <c r="J278" s="1" t="s">
        <v>539</v>
      </c>
      <c r="K278" t="str">
        <f t="shared" si="4"/>
        <v>Non-Expired</v>
      </c>
    </row>
    <row r="279" spans="1:11" x14ac:dyDescent="0.3">
      <c r="A279" s="3">
        <v>45749</v>
      </c>
      <c r="B279" t="s">
        <v>80</v>
      </c>
      <c r="C279" t="s">
        <v>59</v>
      </c>
      <c r="D279">
        <v>26</v>
      </c>
      <c r="E279" t="s">
        <v>33</v>
      </c>
      <c r="F279" t="s">
        <v>34</v>
      </c>
      <c r="G279" t="s">
        <v>288</v>
      </c>
      <c r="H279" s="1">
        <v>45717</v>
      </c>
      <c r="I279">
        <v>130</v>
      </c>
      <c r="J279" s="1" t="s">
        <v>539</v>
      </c>
      <c r="K279" t="str">
        <f t="shared" si="4"/>
        <v>Expired</v>
      </c>
    </row>
    <row r="280" spans="1:11" x14ac:dyDescent="0.3">
      <c r="A280" s="3">
        <v>45749</v>
      </c>
      <c r="B280" t="s">
        <v>43</v>
      </c>
      <c r="C280" t="s">
        <v>139</v>
      </c>
      <c r="D280">
        <v>12</v>
      </c>
      <c r="E280" t="s">
        <v>36</v>
      </c>
      <c r="F280" t="s">
        <v>37</v>
      </c>
      <c r="G280" t="s">
        <v>289</v>
      </c>
      <c r="H280" s="1">
        <v>46661</v>
      </c>
      <c r="I280">
        <v>72</v>
      </c>
      <c r="J280" s="1" t="s">
        <v>539</v>
      </c>
      <c r="K280" t="str">
        <f t="shared" si="4"/>
        <v>Non-Expired</v>
      </c>
    </row>
    <row r="281" spans="1:11" x14ac:dyDescent="0.3">
      <c r="A281" s="3">
        <v>45749</v>
      </c>
      <c r="B281" t="s">
        <v>43</v>
      </c>
      <c r="C281" t="s">
        <v>131</v>
      </c>
      <c r="D281">
        <v>22</v>
      </c>
      <c r="E281" t="s">
        <v>41</v>
      </c>
      <c r="F281" t="s">
        <v>12</v>
      </c>
      <c r="G281" t="s">
        <v>152</v>
      </c>
      <c r="H281" s="1">
        <v>46692</v>
      </c>
      <c r="I281">
        <v>88</v>
      </c>
      <c r="J281" s="1" t="s">
        <v>539</v>
      </c>
      <c r="K281" t="str">
        <f t="shared" si="4"/>
        <v>Non-Expired</v>
      </c>
    </row>
    <row r="282" spans="1:11" x14ac:dyDescent="0.3">
      <c r="A282" s="3">
        <v>45779</v>
      </c>
      <c r="B282" t="s">
        <v>97</v>
      </c>
      <c r="C282" t="s">
        <v>44</v>
      </c>
      <c r="D282">
        <v>25</v>
      </c>
      <c r="E282" t="s">
        <v>45</v>
      </c>
      <c r="F282" t="s">
        <v>16</v>
      </c>
      <c r="G282" t="s">
        <v>260</v>
      </c>
      <c r="H282" s="1">
        <v>46266</v>
      </c>
      <c r="I282">
        <v>250</v>
      </c>
      <c r="J282" s="1" t="s">
        <v>539</v>
      </c>
      <c r="K282" t="str">
        <f t="shared" si="4"/>
        <v>Non-Expired</v>
      </c>
    </row>
    <row r="283" spans="1:11" x14ac:dyDescent="0.3">
      <c r="A283" s="3">
        <v>45779</v>
      </c>
      <c r="B283" t="s">
        <v>9</v>
      </c>
      <c r="C283" t="s">
        <v>55</v>
      </c>
      <c r="D283">
        <v>17</v>
      </c>
      <c r="E283" t="s">
        <v>49</v>
      </c>
      <c r="F283" t="s">
        <v>50</v>
      </c>
      <c r="G283" t="s">
        <v>290</v>
      </c>
      <c r="H283" s="1">
        <v>46419</v>
      </c>
      <c r="I283">
        <v>85</v>
      </c>
      <c r="J283" s="1" t="s">
        <v>539</v>
      </c>
      <c r="K283" t="str">
        <f t="shared" si="4"/>
        <v>Non-Expired</v>
      </c>
    </row>
    <row r="284" spans="1:11" x14ac:dyDescent="0.3">
      <c r="A284" s="3">
        <v>45779</v>
      </c>
      <c r="B284" t="s">
        <v>39</v>
      </c>
      <c r="C284" t="s">
        <v>59</v>
      </c>
      <c r="D284">
        <v>29</v>
      </c>
      <c r="E284" t="s">
        <v>52</v>
      </c>
      <c r="F284" t="s">
        <v>53</v>
      </c>
      <c r="G284" t="s">
        <v>54</v>
      </c>
      <c r="H284" s="1">
        <v>46569</v>
      </c>
      <c r="I284">
        <v>58</v>
      </c>
      <c r="J284" s="1" t="s">
        <v>539</v>
      </c>
      <c r="K284" t="str">
        <f t="shared" si="4"/>
        <v>Non-Expired</v>
      </c>
    </row>
    <row r="285" spans="1:11" x14ac:dyDescent="0.3">
      <c r="A285" s="3">
        <v>45779</v>
      </c>
      <c r="B285" t="s">
        <v>92</v>
      </c>
      <c r="C285" t="s">
        <v>48</v>
      </c>
      <c r="D285">
        <v>27</v>
      </c>
      <c r="E285" t="s">
        <v>56</v>
      </c>
      <c r="F285" t="s">
        <v>53</v>
      </c>
      <c r="G285" t="s">
        <v>291</v>
      </c>
      <c r="H285" s="1">
        <v>46266</v>
      </c>
      <c r="I285">
        <v>270</v>
      </c>
      <c r="J285" s="1" t="s">
        <v>539</v>
      </c>
      <c r="K285" t="str">
        <f t="shared" si="4"/>
        <v>Non-Expired</v>
      </c>
    </row>
    <row r="286" spans="1:11" x14ac:dyDescent="0.3">
      <c r="A286" s="3">
        <v>45779</v>
      </c>
      <c r="B286" t="s">
        <v>31</v>
      </c>
      <c r="C286" t="s">
        <v>24</v>
      </c>
      <c r="D286">
        <v>11</v>
      </c>
      <c r="E286" t="s">
        <v>60</v>
      </c>
      <c r="F286" t="s">
        <v>61</v>
      </c>
      <c r="G286" t="s">
        <v>292</v>
      </c>
      <c r="H286" s="1">
        <v>46235</v>
      </c>
      <c r="I286">
        <v>1320</v>
      </c>
      <c r="J286" s="1" t="s">
        <v>539</v>
      </c>
      <c r="K286" t="str">
        <f t="shared" si="4"/>
        <v>Non-Expired</v>
      </c>
    </row>
    <row r="287" spans="1:11" x14ac:dyDescent="0.3">
      <c r="A287" s="3">
        <v>45779</v>
      </c>
      <c r="B287" t="s">
        <v>39</v>
      </c>
      <c r="C287" t="s">
        <v>139</v>
      </c>
      <c r="D287">
        <v>27</v>
      </c>
      <c r="E287" t="s">
        <v>63</v>
      </c>
      <c r="F287" t="s">
        <v>50</v>
      </c>
      <c r="G287" t="s">
        <v>293</v>
      </c>
      <c r="H287" s="1">
        <v>45170</v>
      </c>
      <c r="I287">
        <v>540</v>
      </c>
      <c r="J287" s="1" t="s">
        <v>539</v>
      </c>
      <c r="K287" t="str">
        <f t="shared" si="4"/>
        <v>Expired</v>
      </c>
    </row>
    <row r="288" spans="1:11" x14ac:dyDescent="0.3">
      <c r="A288" s="3">
        <v>45779</v>
      </c>
      <c r="B288" t="s">
        <v>43</v>
      </c>
      <c r="C288" t="s">
        <v>149</v>
      </c>
      <c r="D288">
        <v>2</v>
      </c>
      <c r="E288" t="s">
        <v>67</v>
      </c>
      <c r="F288" t="s">
        <v>68</v>
      </c>
      <c r="G288" t="s">
        <v>175</v>
      </c>
      <c r="H288" s="1">
        <v>46113</v>
      </c>
      <c r="I288">
        <v>60</v>
      </c>
      <c r="J288" s="1" t="s">
        <v>539</v>
      </c>
      <c r="K288" t="str">
        <f t="shared" si="4"/>
        <v>Non-Expired</v>
      </c>
    </row>
    <row r="289" spans="1:11" x14ac:dyDescent="0.3">
      <c r="A289" s="3">
        <v>45779</v>
      </c>
      <c r="B289" t="s">
        <v>85</v>
      </c>
      <c r="C289" t="s">
        <v>162</v>
      </c>
      <c r="D289">
        <v>28</v>
      </c>
      <c r="E289" t="s">
        <v>71</v>
      </c>
      <c r="F289" t="s">
        <v>72</v>
      </c>
      <c r="G289" t="s">
        <v>242</v>
      </c>
      <c r="H289" s="1">
        <v>46753</v>
      </c>
      <c r="I289">
        <v>1120</v>
      </c>
      <c r="J289" s="1" t="s">
        <v>539</v>
      </c>
      <c r="K289" t="str">
        <f t="shared" si="4"/>
        <v>Non-Expired</v>
      </c>
    </row>
    <row r="290" spans="1:11" x14ac:dyDescent="0.3">
      <c r="A290" s="3">
        <v>45810</v>
      </c>
      <c r="B290" t="s">
        <v>43</v>
      </c>
      <c r="C290" t="s">
        <v>149</v>
      </c>
      <c r="D290">
        <v>30</v>
      </c>
      <c r="E290" t="s">
        <v>75</v>
      </c>
      <c r="F290" t="s">
        <v>16</v>
      </c>
      <c r="G290" t="s">
        <v>205</v>
      </c>
      <c r="H290" s="1">
        <v>46235</v>
      </c>
      <c r="I290">
        <v>1500</v>
      </c>
      <c r="J290" s="1" t="s">
        <v>539</v>
      </c>
      <c r="K290" t="str">
        <f t="shared" si="4"/>
        <v>Non-Expired</v>
      </c>
    </row>
    <row r="291" spans="1:11" x14ac:dyDescent="0.3">
      <c r="A291" s="3">
        <v>45810</v>
      </c>
      <c r="B291" t="s">
        <v>80</v>
      </c>
      <c r="C291" t="s">
        <v>66</v>
      </c>
      <c r="D291">
        <v>16</v>
      </c>
      <c r="E291" t="s">
        <v>11</v>
      </c>
      <c r="F291" t="s">
        <v>12</v>
      </c>
      <c r="G291" t="s">
        <v>294</v>
      </c>
      <c r="H291" s="1">
        <v>46508</v>
      </c>
      <c r="I291">
        <v>32</v>
      </c>
      <c r="J291" s="1" t="s">
        <v>539</v>
      </c>
      <c r="K291" t="str">
        <f t="shared" si="4"/>
        <v>Non-Expired</v>
      </c>
    </row>
    <row r="292" spans="1:11" x14ac:dyDescent="0.3">
      <c r="A292" s="3">
        <v>45810</v>
      </c>
      <c r="B292" t="s">
        <v>47</v>
      </c>
      <c r="C292" t="s">
        <v>48</v>
      </c>
      <c r="D292">
        <v>27</v>
      </c>
      <c r="E292" t="s">
        <v>15</v>
      </c>
      <c r="F292" t="s">
        <v>16</v>
      </c>
      <c r="G292" t="s">
        <v>295</v>
      </c>
      <c r="H292" s="1">
        <v>46508</v>
      </c>
      <c r="I292">
        <v>81</v>
      </c>
      <c r="J292" s="1" t="s">
        <v>539</v>
      </c>
      <c r="K292" t="str">
        <f t="shared" si="4"/>
        <v>Non-Expired</v>
      </c>
    </row>
    <row r="293" spans="1:11" x14ac:dyDescent="0.3">
      <c r="A293" s="3">
        <v>45810</v>
      </c>
      <c r="B293" t="s">
        <v>31</v>
      </c>
      <c r="C293" t="s">
        <v>214</v>
      </c>
      <c r="D293">
        <v>14</v>
      </c>
      <c r="E293" t="s">
        <v>20</v>
      </c>
      <c r="F293" t="s">
        <v>21</v>
      </c>
      <c r="G293" t="s">
        <v>194</v>
      </c>
      <c r="H293" s="1">
        <v>46447</v>
      </c>
      <c r="I293">
        <v>112</v>
      </c>
      <c r="J293" s="1" t="s">
        <v>539</v>
      </c>
      <c r="K293" t="str">
        <f t="shared" si="4"/>
        <v>Non-Expired</v>
      </c>
    </row>
    <row r="294" spans="1:11" x14ac:dyDescent="0.3">
      <c r="A294" s="3">
        <v>45810</v>
      </c>
      <c r="B294" t="s">
        <v>90</v>
      </c>
      <c r="C294" t="s">
        <v>154</v>
      </c>
      <c r="D294">
        <v>30</v>
      </c>
      <c r="E294" t="s">
        <v>25</v>
      </c>
      <c r="F294" t="s">
        <v>26</v>
      </c>
      <c r="G294" t="s">
        <v>296</v>
      </c>
      <c r="H294" s="1">
        <v>46113</v>
      </c>
      <c r="I294">
        <v>90</v>
      </c>
      <c r="J294" s="1" t="s">
        <v>539</v>
      </c>
      <c r="K294" t="str">
        <f t="shared" si="4"/>
        <v>Non-Expired</v>
      </c>
    </row>
    <row r="295" spans="1:11" x14ac:dyDescent="0.3">
      <c r="A295" s="3">
        <v>45810</v>
      </c>
      <c r="B295" t="s">
        <v>97</v>
      </c>
      <c r="C295" t="s">
        <v>44</v>
      </c>
      <c r="D295">
        <v>12</v>
      </c>
      <c r="E295" t="s">
        <v>28</v>
      </c>
      <c r="F295" t="s">
        <v>29</v>
      </c>
      <c r="G295" t="s">
        <v>297</v>
      </c>
      <c r="H295" s="1">
        <v>45627</v>
      </c>
      <c r="I295">
        <v>48</v>
      </c>
      <c r="J295" s="1" t="s">
        <v>539</v>
      </c>
      <c r="K295" t="str">
        <f t="shared" si="4"/>
        <v>Expired</v>
      </c>
    </row>
    <row r="296" spans="1:11" x14ac:dyDescent="0.3">
      <c r="A296" s="3">
        <v>45810</v>
      </c>
      <c r="B296" t="s">
        <v>9</v>
      </c>
      <c r="C296" t="s">
        <v>210</v>
      </c>
      <c r="D296">
        <v>25</v>
      </c>
      <c r="E296" t="s">
        <v>33</v>
      </c>
      <c r="F296" t="s">
        <v>34</v>
      </c>
      <c r="G296" t="s">
        <v>298</v>
      </c>
      <c r="H296" s="1">
        <v>46753</v>
      </c>
      <c r="I296">
        <v>125</v>
      </c>
      <c r="J296" s="1" t="s">
        <v>539</v>
      </c>
      <c r="K296" t="str">
        <f t="shared" si="4"/>
        <v>Non-Expired</v>
      </c>
    </row>
    <row r="297" spans="1:11" x14ac:dyDescent="0.3">
      <c r="A297" s="3">
        <v>45810</v>
      </c>
      <c r="B297" t="s">
        <v>92</v>
      </c>
      <c r="C297" t="s">
        <v>74</v>
      </c>
      <c r="D297">
        <v>7</v>
      </c>
      <c r="E297" t="s">
        <v>36</v>
      </c>
      <c r="F297" t="s">
        <v>37</v>
      </c>
      <c r="G297" t="s">
        <v>299</v>
      </c>
      <c r="H297" s="1">
        <v>46447</v>
      </c>
      <c r="I297">
        <v>42</v>
      </c>
      <c r="J297" s="1" t="s">
        <v>539</v>
      </c>
      <c r="K297" t="str">
        <f t="shared" si="4"/>
        <v>Non-Expired</v>
      </c>
    </row>
    <row r="298" spans="1:11" x14ac:dyDescent="0.3">
      <c r="A298" s="3">
        <v>45840</v>
      </c>
      <c r="B298" t="s">
        <v>18</v>
      </c>
      <c r="C298" t="s">
        <v>203</v>
      </c>
      <c r="D298">
        <v>13</v>
      </c>
      <c r="E298" t="s">
        <v>41</v>
      </c>
      <c r="F298" t="s">
        <v>12</v>
      </c>
      <c r="G298" t="s">
        <v>183</v>
      </c>
      <c r="H298" s="1">
        <v>46054</v>
      </c>
      <c r="I298">
        <v>52</v>
      </c>
      <c r="J298" s="1" t="s">
        <v>539</v>
      </c>
      <c r="K298" t="str">
        <f t="shared" si="4"/>
        <v>Non-Expired</v>
      </c>
    </row>
    <row r="299" spans="1:11" x14ac:dyDescent="0.3">
      <c r="A299" s="3">
        <v>45840</v>
      </c>
      <c r="B299" t="s">
        <v>80</v>
      </c>
      <c r="C299" t="s">
        <v>88</v>
      </c>
      <c r="D299">
        <v>24</v>
      </c>
      <c r="E299" t="s">
        <v>45</v>
      </c>
      <c r="F299" t="s">
        <v>16</v>
      </c>
      <c r="G299" t="s">
        <v>264</v>
      </c>
      <c r="H299" s="1">
        <v>46113</v>
      </c>
      <c r="I299">
        <v>240</v>
      </c>
      <c r="J299" s="1" t="s">
        <v>539</v>
      </c>
      <c r="K299" t="str">
        <f t="shared" si="4"/>
        <v>Non-Expired</v>
      </c>
    </row>
    <row r="300" spans="1:11" x14ac:dyDescent="0.3">
      <c r="A300" s="3">
        <v>45840</v>
      </c>
      <c r="B300" t="s">
        <v>9</v>
      </c>
      <c r="C300" t="s">
        <v>10</v>
      </c>
      <c r="D300">
        <v>4</v>
      </c>
      <c r="E300" t="s">
        <v>49</v>
      </c>
      <c r="F300" t="s">
        <v>50</v>
      </c>
      <c r="G300" t="s">
        <v>300</v>
      </c>
      <c r="H300" s="1">
        <v>46478</v>
      </c>
      <c r="I300">
        <v>20</v>
      </c>
      <c r="J300" s="1" t="s">
        <v>539</v>
      </c>
      <c r="K300" t="str">
        <f t="shared" si="4"/>
        <v>Non-Expired</v>
      </c>
    </row>
    <row r="301" spans="1:11" x14ac:dyDescent="0.3">
      <c r="A301" s="3">
        <v>45840</v>
      </c>
      <c r="B301" t="s">
        <v>58</v>
      </c>
      <c r="C301" t="s">
        <v>32</v>
      </c>
      <c r="D301">
        <v>11</v>
      </c>
      <c r="E301" t="s">
        <v>52</v>
      </c>
      <c r="F301" t="s">
        <v>53</v>
      </c>
      <c r="G301" t="s">
        <v>273</v>
      </c>
      <c r="H301" s="1">
        <v>45597</v>
      </c>
      <c r="I301">
        <v>22</v>
      </c>
      <c r="J301" s="1" t="s">
        <v>539</v>
      </c>
      <c r="K301" t="str">
        <f t="shared" si="4"/>
        <v>Expired</v>
      </c>
    </row>
    <row r="302" spans="1:11" x14ac:dyDescent="0.3">
      <c r="A302" s="3">
        <v>45840</v>
      </c>
      <c r="B302" t="s">
        <v>97</v>
      </c>
      <c r="C302" t="s">
        <v>24</v>
      </c>
      <c r="D302">
        <v>30</v>
      </c>
      <c r="E302" t="s">
        <v>56</v>
      </c>
      <c r="F302" t="s">
        <v>53</v>
      </c>
      <c r="G302" t="s">
        <v>301</v>
      </c>
      <c r="H302" s="1">
        <v>46174</v>
      </c>
      <c r="I302">
        <v>300</v>
      </c>
      <c r="J302" s="1" t="s">
        <v>539</v>
      </c>
      <c r="K302" t="str">
        <f t="shared" si="4"/>
        <v>Non-Expired</v>
      </c>
    </row>
    <row r="303" spans="1:11" x14ac:dyDescent="0.3">
      <c r="A303" s="3">
        <v>45840</v>
      </c>
      <c r="B303" t="s">
        <v>9</v>
      </c>
      <c r="C303" t="s">
        <v>10</v>
      </c>
      <c r="D303">
        <v>5</v>
      </c>
      <c r="E303" t="s">
        <v>60</v>
      </c>
      <c r="F303" t="s">
        <v>61</v>
      </c>
      <c r="G303" t="s">
        <v>302</v>
      </c>
      <c r="H303" s="1">
        <v>46143</v>
      </c>
      <c r="I303">
        <v>600</v>
      </c>
      <c r="J303" s="1" t="s">
        <v>539</v>
      </c>
      <c r="K303" t="str">
        <f t="shared" si="4"/>
        <v>Non-Expired</v>
      </c>
    </row>
    <row r="304" spans="1:11" x14ac:dyDescent="0.3">
      <c r="A304" s="3">
        <v>45840</v>
      </c>
      <c r="B304" t="s">
        <v>47</v>
      </c>
      <c r="C304" t="s">
        <v>101</v>
      </c>
      <c r="D304">
        <v>4</v>
      </c>
      <c r="E304" t="s">
        <v>63</v>
      </c>
      <c r="F304" t="s">
        <v>50</v>
      </c>
      <c r="G304" t="s">
        <v>189</v>
      </c>
      <c r="H304" s="1">
        <v>46447</v>
      </c>
      <c r="I304">
        <v>80</v>
      </c>
      <c r="J304" s="1" t="s">
        <v>539</v>
      </c>
      <c r="K304" t="str">
        <f t="shared" si="4"/>
        <v>Non-Expired</v>
      </c>
    </row>
    <row r="305" spans="1:11" x14ac:dyDescent="0.3">
      <c r="A305" s="3">
        <v>45840</v>
      </c>
      <c r="B305" t="s">
        <v>97</v>
      </c>
      <c r="C305" t="s">
        <v>44</v>
      </c>
      <c r="D305">
        <v>14</v>
      </c>
      <c r="E305" t="s">
        <v>67</v>
      </c>
      <c r="F305" t="s">
        <v>68</v>
      </c>
      <c r="G305" t="s">
        <v>276</v>
      </c>
      <c r="H305" s="1">
        <v>46508</v>
      </c>
      <c r="I305">
        <v>420</v>
      </c>
      <c r="J305" s="1" t="s">
        <v>539</v>
      </c>
      <c r="K305" t="str">
        <f t="shared" si="4"/>
        <v>Non-Expired</v>
      </c>
    </row>
    <row r="306" spans="1:11" x14ac:dyDescent="0.3">
      <c r="A306" s="3">
        <v>45871</v>
      </c>
      <c r="B306" t="s">
        <v>97</v>
      </c>
      <c r="C306" t="s">
        <v>14</v>
      </c>
      <c r="D306">
        <v>8</v>
      </c>
      <c r="E306" t="s">
        <v>71</v>
      </c>
      <c r="F306" t="s">
        <v>72</v>
      </c>
      <c r="G306" t="s">
        <v>303</v>
      </c>
      <c r="H306" s="1">
        <v>46174</v>
      </c>
      <c r="I306">
        <v>320</v>
      </c>
      <c r="J306" s="1" t="s">
        <v>539</v>
      </c>
      <c r="K306" t="str">
        <f t="shared" si="4"/>
        <v>Non-Expired</v>
      </c>
    </row>
    <row r="307" spans="1:11" x14ac:dyDescent="0.3">
      <c r="A307" s="3">
        <v>45871</v>
      </c>
      <c r="B307" t="s">
        <v>9</v>
      </c>
      <c r="C307" t="s">
        <v>88</v>
      </c>
      <c r="D307">
        <v>19</v>
      </c>
      <c r="E307" t="s">
        <v>75</v>
      </c>
      <c r="F307" t="s">
        <v>16</v>
      </c>
      <c r="G307" t="s">
        <v>104</v>
      </c>
      <c r="H307" s="1">
        <v>46235</v>
      </c>
      <c r="I307">
        <v>950</v>
      </c>
      <c r="J307" s="1" t="s">
        <v>539</v>
      </c>
      <c r="K307" t="str">
        <f t="shared" si="4"/>
        <v>Non-Expired</v>
      </c>
    </row>
    <row r="308" spans="1:11" x14ac:dyDescent="0.3">
      <c r="A308" s="3">
        <v>45871</v>
      </c>
      <c r="B308" t="s">
        <v>9</v>
      </c>
      <c r="C308" t="s">
        <v>19</v>
      </c>
      <c r="D308">
        <v>8</v>
      </c>
      <c r="E308" t="s">
        <v>11</v>
      </c>
      <c r="F308" t="s">
        <v>12</v>
      </c>
      <c r="G308" t="s">
        <v>13</v>
      </c>
      <c r="H308" s="1">
        <v>46478</v>
      </c>
      <c r="I308">
        <v>16</v>
      </c>
      <c r="J308" s="1" t="s">
        <v>539</v>
      </c>
      <c r="K308" t="str">
        <f t="shared" si="4"/>
        <v>Non-Expired</v>
      </c>
    </row>
    <row r="309" spans="1:11" x14ac:dyDescent="0.3">
      <c r="A309" s="3">
        <v>45871</v>
      </c>
      <c r="B309" t="s">
        <v>23</v>
      </c>
      <c r="C309" t="s">
        <v>44</v>
      </c>
      <c r="D309">
        <v>10</v>
      </c>
      <c r="E309" t="s">
        <v>15</v>
      </c>
      <c r="F309" t="s">
        <v>16</v>
      </c>
      <c r="G309" t="s">
        <v>233</v>
      </c>
      <c r="H309" s="1">
        <v>45474</v>
      </c>
      <c r="I309">
        <v>30</v>
      </c>
      <c r="J309" s="1" t="s">
        <v>539</v>
      </c>
      <c r="K309" t="str">
        <f t="shared" si="4"/>
        <v>Expired</v>
      </c>
    </row>
    <row r="310" spans="1:11" x14ac:dyDescent="0.3">
      <c r="A310" s="3">
        <v>45871</v>
      </c>
      <c r="B310" t="s">
        <v>9</v>
      </c>
      <c r="C310" t="s">
        <v>119</v>
      </c>
      <c r="D310">
        <v>19</v>
      </c>
      <c r="E310" t="s">
        <v>20</v>
      </c>
      <c r="F310" t="s">
        <v>21</v>
      </c>
      <c r="G310" t="s">
        <v>245</v>
      </c>
      <c r="H310" s="1">
        <v>46174</v>
      </c>
      <c r="I310">
        <v>152</v>
      </c>
      <c r="J310" s="1" t="s">
        <v>539</v>
      </c>
      <c r="K310" t="str">
        <f t="shared" si="4"/>
        <v>Non-Expired</v>
      </c>
    </row>
    <row r="311" spans="1:11" x14ac:dyDescent="0.3">
      <c r="A311" s="3">
        <v>45871</v>
      </c>
      <c r="B311" t="s">
        <v>9</v>
      </c>
      <c r="C311" t="s">
        <v>210</v>
      </c>
      <c r="D311">
        <v>23</v>
      </c>
      <c r="E311" t="s">
        <v>25</v>
      </c>
      <c r="F311" t="s">
        <v>26</v>
      </c>
      <c r="G311" t="s">
        <v>224</v>
      </c>
      <c r="H311" s="1">
        <v>46722</v>
      </c>
      <c r="I311">
        <v>69</v>
      </c>
      <c r="J311" s="1" t="s">
        <v>539</v>
      </c>
      <c r="K311" t="str">
        <f t="shared" si="4"/>
        <v>Non-Expired</v>
      </c>
    </row>
    <row r="312" spans="1:11" x14ac:dyDescent="0.3">
      <c r="A312" s="3">
        <v>45871</v>
      </c>
      <c r="B312" t="s">
        <v>43</v>
      </c>
      <c r="C312" t="s">
        <v>180</v>
      </c>
      <c r="D312">
        <v>11</v>
      </c>
      <c r="E312" t="s">
        <v>28</v>
      </c>
      <c r="F312" t="s">
        <v>29</v>
      </c>
      <c r="G312" t="s">
        <v>110</v>
      </c>
      <c r="H312" s="1">
        <v>46023</v>
      </c>
      <c r="I312">
        <v>44</v>
      </c>
      <c r="J312" s="1" t="s">
        <v>539</v>
      </c>
      <c r="K312" t="str">
        <f t="shared" si="4"/>
        <v>Non-Expired</v>
      </c>
    </row>
    <row r="313" spans="1:11" x14ac:dyDescent="0.3">
      <c r="A313" s="3">
        <v>45871</v>
      </c>
      <c r="B313" t="s">
        <v>23</v>
      </c>
      <c r="C313" t="s">
        <v>44</v>
      </c>
      <c r="D313">
        <v>18</v>
      </c>
      <c r="E313" t="s">
        <v>33</v>
      </c>
      <c r="F313" t="s">
        <v>34</v>
      </c>
      <c r="G313" t="s">
        <v>236</v>
      </c>
      <c r="H313" s="1">
        <v>46692</v>
      </c>
      <c r="I313">
        <v>90</v>
      </c>
      <c r="J313" s="1" t="s">
        <v>539</v>
      </c>
      <c r="K313" t="str">
        <f t="shared" si="4"/>
        <v>Non-Expired</v>
      </c>
    </row>
    <row r="314" spans="1:11" x14ac:dyDescent="0.3">
      <c r="A314" s="3">
        <v>45902</v>
      </c>
      <c r="B314" t="s">
        <v>31</v>
      </c>
      <c r="C314" t="s">
        <v>88</v>
      </c>
      <c r="D314">
        <v>4</v>
      </c>
      <c r="E314" t="s">
        <v>36</v>
      </c>
      <c r="F314" t="s">
        <v>37</v>
      </c>
      <c r="G314" t="s">
        <v>304</v>
      </c>
      <c r="H314" s="1">
        <v>46753</v>
      </c>
      <c r="I314">
        <v>24</v>
      </c>
      <c r="J314" s="1" t="s">
        <v>539</v>
      </c>
      <c r="K314" t="str">
        <f t="shared" si="4"/>
        <v>Non-Expired</v>
      </c>
    </row>
    <row r="315" spans="1:11" x14ac:dyDescent="0.3">
      <c r="A315" s="3">
        <v>45902</v>
      </c>
      <c r="B315" t="s">
        <v>92</v>
      </c>
      <c r="C315" t="s">
        <v>48</v>
      </c>
      <c r="D315">
        <v>11</v>
      </c>
      <c r="E315" t="s">
        <v>41</v>
      </c>
      <c r="F315" t="s">
        <v>12</v>
      </c>
      <c r="G315" t="s">
        <v>305</v>
      </c>
      <c r="H315" s="1">
        <v>46113</v>
      </c>
      <c r="I315">
        <v>44</v>
      </c>
      <c r="J315" s="1" t="s">
        <v>539</v>
      </c>
      <c r="K315" t="str">
        <f t="shared" si="4"/>
        <v>Non-Expired</v>
      </c>
    </row>
    <row r="316" spans="1:11" x14ac:dyDescent="0.3">
      <c r="A316" s="3">
        <v>45902</v>
      </c>
      <c r="B316" t="s">
        <v>9</v>
      </c>
      <c r="C316" t="s">
        <v>99</v>
      </c>
      <c r="D316">
        <v>24</v>
      </c>
      <c r="E316" t="s">
        <v>45</v>
      </c>
      <c r="F316" t="s">
        <v>16</v>
      </c>
      <c r="G316" t="s">
        <v>306</v>
      </c>
      <c r="H316" s="1">
        <v>46327</v>
      </c>
      <c r="I316">
        <v>240</v>
      </c>
      <c r="J316" s="1" t="s">
        <v>539</v>
      </c>
      <c r="K316" t="str">
        <f t="shared" si="4"/>
        <v>Non-Expired</v>
      </c>
    </row>
    <row r="317" spans="1:11" x14ac:dyDescent="0.3">
      <c r="A317" s="3">
        <v>45902</v>
      </c>
      <c r="B317" t="s">
        <v>65</v>
      </c>
      <c r="C317" t="s">
        <v>149</v>
      </c>
      <c r="D317">
        <v>2</v>
      </c>
      <c r="E317" t="s">
        <v>49</v>
      </c>
      <c r="F317" t="s">
        <v>50</v>
      </c>
      <c r="G317" t="s">
        <v>307</v>
      </c>
      <c r="H317" s="1">
        <v>46143</v>
      </c>
      <c r="I317">
        <v>10</v>
      </c>
      <c r="J317" s="1" t="s">
        <v>539</v>
      </c>
      <c r="K317" t="str">
        <f t="shared" si="4"/>
        <v>Non-Expired</v>
      </c>
    </row>
    <row r="318" spans="1:11" x14ac:dyDescent="0.3">
      <c r="A318" s="3">
        <v>45902</v>
      </c>
      <c r="B318" t="s">
        <v>9</v>
      </c>
      <c r="C318" t="s">
        <v>128</v>
      </c>
      <c r="D318">
        <v>28</v>
      </c>
      <c r="E318" t="s">
        <v>52</v>
      </c>
      <c r="F318" t="s">
        <v>53</v>
      </c>
      <c r="G318" t="s">
        <v>283</v>
      </c>
      <c r="H318" s="1">
        <v>45536</v>
      </c>
      <c r="I318">
        <v>56</v>
      </c>
      <c r="J318" s="1" t="s">
        <v>539</v>
      </c>
      <c r="K318" t="str">
        <f t="shared" si="4"/>
        <v>Expired</v>
      </c>
    </row>
    <row r="319" spans="1:11" x14ac:dyDescent="0.3">
      <c r="A319" s="3">
        <v>45902</v>
      </c>
      <c r="B319" t="s">
        <v>65</v>
      </c>
      <c r="C319" t="s">
        <v>19</v>
      </c>
      <c r="D319">
        <v>15</v>
      </c>
      <c r="E319" t="s">
        <v>56</v>
      </c>
      <c r="F319" t="s">
        <v>53</v>
      </c>
      <c r="G319" t="s">
        <v>156</v>
      </c>
      <c r="H319" s="1">
        <v>46143</v>
      </c>
      <c r="I319">
        <v>150</v>
      </c>
      <c r="J319" s="1" t="s">
        <v>539</v>
      </c>
      <c r="K319" t="str">
        <f t="shared" si="4"/>
        <v>Non-Expired</v>
      </c>
    </row>
    <row r="320" spans="1:11" x14ac:dyDescent="0.3">
      <c r="A320" s="3">
        <v>45902</v>
      </c>
      <c r="B320" t="s">
        <v>9</v>
      </c>
      <c r="C320" t="s">
        <v>112</v>
      </c>
      <c r="D320">
        <v>26</v>
      </c>
      <c r="E320" t="s">
        <v>60</v>
      </c>
      <c r="F320" t="s">
        <v>61</v>
      </c>
      <c r="G320" t="s">
        <v>200</v>
      </c>
      <c r="H320" s="1">
        <v>46235</v>
      </c>
      <c r="I320">
        <v>3120</v>
      </c>
      <c r="J320" s="1" t="s">
        <v>539</v>
      </c>
      <c r="K320" t="str">
        <f t="shared" si="4"/>
        <v>Non-Expired</v>
      </c>
    </row>
    <row r="321" spans="1:11" x14ac:dyDescent="0.3">
      <c r="A321" s="3">
        <v>45902</v>
      </c>
      <c r="B321" t="s">
        <v>9</v>
      </c>
      <c r="C321" t="s">
        <v>112</v>
      </c>
      <c r="D321">
        <v>11</v>
      </c>
      <c r="E321" t="s">
        <v>63</v>
      </c>
      <c r="F321" t="s">
        <v>50</v>
      </c>
      <c r="G321" t="s">
        <v>284</v>
      </c>
      <c r="H321" s="1">
        <v>46539</v>
      </c>
      <c r="I321">
        <v>220</v>
      </c>
      <c r="J321" s="1" t="s">
        <v>539</v>
      </c>
      <c r="K321" t="str">
        <f t="shared" si="4"/>
        <v>Non-Expired</v>
      </c>
    </row>
    <row r="322" spans="1:11" x14ac:dyDescent="0.3">
      <c r="A322" s="3">
        <v>45932</v>
      </c>
      <c r="B322" t="s">
        <v>65</v>
      </c>
      <c r="C322" t="s">
        <v>107</v>
      </c>
      <c r="D322">
        <v>28</v>
      </c>
      <c r="E322" t="s">
        <v>67</v>
      </c>
      <c r="F322" t="s">
        <v>68</v>
      </c>
      <c r="G322" t="s">
        <v>308</v>
      </c>
      <c r="H322" s="1">
        <v>46508</v>
      </c>
      <c r="I322">
        <v>840</v>
      </c>
      <c r="J322" s="1" t="s">
        <v>539</v>
      </c>
      <c r="K322" t="str">
        <f t="shared" si="4"/>
        <v>Non-Expired</v>
      </c>
    </row>
    <row r="323" spans="1:11" x14ac:dyDescent="0.3">
      <c r="A323" s="3">
        <v>45932</v>
      </c>
      <c r="B323" t="s">
        <v>39</v>
      </c>
      <c r="C323" t="s">
        <v>162</v>
      </c>
      <c r="D323">
        <v>10</v>
      </c>
      <c r="E323" t="s">
        <v>71</v>
      </c>
      <c r="F323" t="s">
        <v>72</v>
      </c>
      <c r="G323" t="s">
        <v>309</v>
      </c>
      <c r="H323" s="1">
        <v>46204</v>
      </c>
      <c r="I323">
        <v>400</v>
      </c>
      <c r="J323" s="1" t="s">
        <v>539</v>
      </c>
      <c r="K323" t="str">
        <f t="shared" ref="K323:K386" si="5">IF(H323&lt;=DATE(2025,5,5),"Expired","Non-Expired")</f>
        <v>Non-Expired</v>
      </c>
    </row>
    <row r="324" spans="1:11" x14ac:dyDescent="0.3">
      <c r="A324" s="3">
        <v>45932</v>
      </c>
      <c r="B324" t="s">
        <v>39</v>
      </c>
      <c r="C324" t="s">
        <v>125</v>
      </c>
      <c r="D324">
        <v>25</v>
      </c>
      <c r="E324" t="s">
        <v>75</v>
      </c>
      <c r="F324" t="s">
        <v>16</v>
      </c>
      <c r="G324" t="s">
        <v>310</v>
      </c>
      <c r="H324" s="1">
        <v>46235</v>
      </c>
      <c r="I324">
        <v>1250</v>
      </c>
      <c r="J324" s="1" t="s">
        <v>539</v>
      </c>
      <c r="K324" t="str">
        <f t="shared" si="5"/>
        <v>Non-Expired</v>
      </c>
    </row>
    <row r="325" spans="1:11" x14ac:dyDescent="0.3">
      <c r="A325" s="3">
        <v>45932</v>
      </c>
      <c r="B325" t="s">
        <v>65</v>
      </c>
      <c r="C325" t="s">
        <v>180</v>
      </c>
      <c r="D325">
        <v>5</v>
      </c>
      <c r="E325" t="s">
        <v>11</v>
      </c>
      <c r="F325" t="s">
        <v>12</v>
      </c>
      <c r="G325" t="s">
        <v>311</v>
      </c>
      <c r="H325" s="1">
        <v>46419</v>
      </c>
      <c r="I325">
        <v>10</v>
      </c>
      <c r="J325" s="1" t="s">
        <v>539</v>
      </c>
      <c r="K325" t="str">
        <f t="shared" si="5"/>
        <v>Non-Expired</v>
      </c>
    </row>
    <row r="326" spans="1:11" x14ac:dyDescent="0.3">
      <c r="A326" s="3">
        <v>45932</v>
      </c>
      <c r="B326" t="s">
        <v>31</v>
      </c>
      <c r="C326" t="s">
        <v>210</v>
      </c>
      <c r="D326">
        <v>14</v>
      </c>
      <c r="E326" t="s">
        <v>15</v>
      </c>
      <c r="F326" t="s">
        <v>16</v>
      </c>
      <c r="G326" t="s">
        <v>193</v>
      </c>
      <c r="H326" s="1">
        <v>45352</v>
      </c>
      <c r="I326">
        <v>42</v>
      </c>
      <c r="J326" s="1" t="s">
        <v>539</v>
      </c>
      <c r="K326" t="str">
        <f t="shared" si="5"/>
        <v>Expired</v>
      </c>
    </row>
    <row r="327" spans="1:11" x14ac:dyDescent="0.3">
      <c r="A327" s="3">
        <v>45932</v>
      </c>
      <c r="B327" t="s">
        <v>9</v>
      </c>
      <c r="C327" t="s">
        <v>19</v>
      </c>
      <c r="D327">
        <v>25</v>
      </c>
      <c r="E327" t="s">
        <v>20</v>
      </c>
      <c r="F327" t="s">
        <v>21</v>
      </c>
      <c r="G327" t="s">
        <v>22</v>
      </c>
      <c r="H327" s="1">
        <v>46296</v>
      </c>
      <c r="I327">
        <v>200</v>
      </c>
      <c r="J327" s="1" t="s">
        <v>539</v>
      </c>
      <c r="K327" t="str">
        <f t="shared" si="5"/>
        <v>Non-Expired</v>
      </c>
    </row>
    <row r="328" spans="1:11" x14ac:dyDescent="0.3">
      <c r="A328" s="3">
        <v>45932</v>
      </c>
      <c r="B328" t="s">
        <v>97</v>
      </c>
      <c r="C328" t="s">
        <v>139</v>
      </c>
      <c r="D328">
        <v>23</v>
      </c>
      <c r="E328" t="s">
        <v>25</v>
      </c>
      <c r="F328" t="s">
        <v>26</v>
      </c>
      <c r="G328" t="s">
        <v>312</v>
      </c>
      <c r="H328" s="1">
        <v>46388</v>
      </c>
      <c r="I328">
        <v>69</v>
      </c>
      <c r="J328" s="1" t="s">
        <v>539</v>
      </c>
      <c r="K328" t="str">
        <f t="shared" si="5"/>
        <v>Non-Expired</v>
      </c>
    </row>
    <row r="329" spans="1:11" x14ac:dyDescent="0.3">
      <c r="A329" s="3">
        <v>45932</v>
      </c>
      <c r="B329" t="s">
        <v>85</v>
      </c>
      <c r="C329" t="s">
        <v>55</v>
      </c>
      <c r="D329">
        <v>26</v>
      </c>
      <c r="E329" t="s">
        <v>28</v>
      </c>
      <c r="F329" t="s">
        <v>29</v>
      </c>
      <c r="G329" t="s">
        <v>313</v>
      </c>
      <c r="H329" s="1">
        <v>46722</v>
      </c>
      <c r="I329">
        <v>104</v>
      </c>
      <c r="J329" s="1" t="s">
        <v>539</v>
      </c>
      <c r="K329" t="str">
        <f t="shared" si="5"/>
        <v>Non-Expired</v>
      </c>
    </row>
    <row r="330" spans="1:11" x14ac:dyDescent="0.3">
      <c r="A330" s="3">
        <v>45963</v>
      </c>
      <c r="B330" t="s">
        <v>23</v>
      </c>
      <c r="C330" t="s">
        <v>107</v>
      </c>
      <c r="D330">
        <v>30</v>
      </c>
      <c r="E330" t="s">
        <v>33</v>
      </c>
      <c r="F330" t="s">
        <v>34</v>
      </c>
      <c r="G330" t="s">
        <v>279</v>
      </c>
      <c r="H330" s="1">
        <v>46569</v>
      </c>
      <c r="I330">
        <v>150</v>
      </c>
      <c r="J330" s="1" t="s">
        <v>539</v>
      </c>
      <c r="K330" t="str">
        <f t="shared" si="5"/>
        <v>Non-Expired</v>
      </c>
    </row>
    <row r="331" spans="1:11" x14ac:dyDescent="0.3">
      <c r="A331" s="3">
        <v>45963</v>
      </c>
      <c r="B331" t="s">
        <v>9</v>
      </c>
      <c r="C331" t="s">
        <v>14</v>
      </c>
      <c r="D331">
        <v>13</v>
      </c>
      <c r="E331" t="s">
        <v>36</v>
      </c>
      <c r="F331" t="s">
        <v>37</v>
      </c>
      <c r="G331" t="s">
        <v>249</v>
      </c>
      <c r="H331" s="1">
        <v>46692</v>
      </c>
      <c r="I331">
        <v>78</v>
      </c>
      <c r="J331" s="1" t="s">
        <v>539</v>
      </c>
      <c r="K331" t="str">
        <f t="shared" si="5"/>
        <v>Non-Expired</v>
      </c>
    </row>
    <row r="332" spans="1:11" x14ac:dyDescent="0.3">
      <c r="A332" s="3">
        <v>45963</v>
      </c>
      <c r="B332" t="s">
        <v>47</v>
      </c>
      <c r="C332" t="s">
        <v>210</v>
      </c>
      <c r="D332">
        <v>21</v>
      </c>
      <c r="E332" t="s">
        <v>41</v>
      </c>
      <c r="F332" t="s">
        <v>12</v>
      </c>
      <c r="G332" t="s">
        <v>314</v>
      </c>
      <c r="H332" s="1">
        <v>46327</v>
      </c>
      <c r="I332">
        <v>84</v>
      </c>
      <c r="J332" s="1" t="s">
        <v>539</v>
      </c>
      <c r="K332" t="str">
        <f t="shared" si="5"/>
        <v>Non-Expired</v>
      </c>
    </row>
    <row r="333" spans="1:11" x14ac:dyDescent="0.3">
      <c r="A333" s="3">
        <v>45963</v>
      </c>
      <c r="B333" t="s">
        <v>97</v>
      </c>
      <c r="C333" t="s">
        <v>103</v>
      </c>
      <c r="D333">
        <v>22</v>
      </c>
      <c r="E333" t="s">
        <v>45</v>
      </c>
      <c r="F333" t="s">
        <v>16</v>
      </c>
      <c r="G333" t="s">
        <v>215</v>
      </c>
      <c r="H333" s="1">
        <v>45444</v>
      </c>
      <c r="I333">
        <v>220</v>
      </c>
      <c r="J333" s="1" t="s">
        <v>539</v>
      </c>
      <c r="K333" t="str">
        <f t="shared" si="5"/>
        <v>Expired</v>
      </c>
    </row>
    <row r="334" spans="1:11" x14ac:dyDescent="0.3">
      <c r="A334" s="3">
        <v>45963</v>
      </c>
      <c r="B334" t="s">
        <v>80</v>
      </c>
      <c r="C334" t="s">
        <v>44</v>
      </c>
      <c r="D334">
        <v>6</v>
      </c>
      <c r="E334" t="s">
        <v>49</v>
      </c>
      <c r="F334" t="s">
        <v>50</v>
      </c>
      <c r="G334" t="s">
        <v>185</v>
      </c>
      <c r="H334" s="1">
        <v>46631</v>
      </c>
      <c r="I334">
        <v>30</v>
      </c>
      <c r="J334" s="1" t="s">
        <v>539</v>
      </c>
      <c r="K334" t="str">
        <f t="shared" si="5"/>
        <v>Non-Expired</v>
      </c>
    </row>
    <row r="335" spans="1:11" x14ac:dyDescent="0.3">
      <c r="A335" s="3">
        <v>45963</v>
      </c>
      <c r="B335" t="s">
        <v>9</v>
      </c>
      <c r="C335" t="s">
        <v>19</v>
      </c>
      <c r="D335">
        <v>5</v>
      </c>
      <c r="E335" t="s">
        <v>52</v>
      </c>
      <c r="F335" t="s">
        <v>53</v>
      </c>
      <c r="G335" t="s">
        <v>315</v>
      </c>
      <c r="H335" s="1">
        <v>46266</v>
      </c>
      <c r="I335">
        <v>10</v>
      </c>
      <c r="J335" s="1" t="s">
        <v>539</v>
      </c>
      <c r="K335" t="str">
        <f t="shared" si="5"/>
        <v>Non-Expired</v>
      </c>
    </row>
    <row r="336" spans="1:11" x14ac:dyDescent="0.3">
      <c r="A336" s="3">
        <v>45963</v>
      </c>
      <c r="B336" t="s">
        <v>58</v>
      </c>
      <c r="C336" t="s">
        <v>203</v>
      </c>
      <c r="D336">
        <v>29</v>
      </c>
      <c r="E336" t="s">
        <v>56</v>
      </c>
      <c r="F336" t="s">
        <v>53</v>
      </c>
      <c r="G336" t="s">
        <v>291</v>
      </c>
      <c r="H336" s="1">
        <v>46569</v>
      </c>
      <c r="I336">
        <v>290</v>
      </c>
      <c r="J336" s="1" t="s">
        <v>539</v>
      </c>
      <c r="K336" t="str">
        <f t="shared" si="5"/>
        <v>Non-Expired</v>
      </c>
    </row>
    <row r="337" spans="1:11" x14ac:dyDescent="0.3">
      <c r="A337" s="3">
        <v>45963</v>
      </c>
      <c r="B337" t="s">
        <v>85</v>
      </c>
      <c r="C337" t="s">
        <v>173</v>
      </c>
      <c r="D337">
        <v>27</v>
      </c>
      <c r="E337" t="s">
        <v>60</v>
      </c>
      <c r="F337" t="s">
        <v>61</v>
      </c>
      <c r="G337" t="s">
        <v>217</v>
      </c>
      <c r="H337" s="1">
        <v>46692</v>
      </c>
      <c r="I337">
        <v>3240</v>
      </c>
      <c r="J337" s="1" t="s">
        <v>539</v>
      </c>
      <c r="K337" t="str">
        <f t="shared" si="5"/>
        <v>Non-Expired</v>
      </c>
    </row>
    <row r="338" spans="1:11" x14ac:dyDescent="0.3">
      <c r="A338" s="3">
        <v>45993</v>
      </c>
      <c r="B338" t="s">
        <v>31</v>
      </c>
      <c r="C338" t="s">
        <v>203</v>
      </c>
      <c r="D338">
        <v>13</v>
      </c>
      <c r="E338" t="s">
        <v>63</v>
      </c>
      <c r="F338" t="s">
        <v>50</v>
      </c>
      <c r="G338" t="s">
        <v>241</v>
      </c>
      <c r="H338" s="1">
        <v>46722</v>
      </c>
      <c r="I338">
        <v>260</v>
      </c>
      <c r="J338" s="1" t="s">
        <v>539</v>
      </c>
      <c r="K338" t="str">
        <f t="shared" si="5"/>
        <v>Non-Expired</v>
      </c>
    </row>
    <row r="339" spans="1:11" x14ac:dyDescent="0.3">
      <c r="A339" s="3">
        <v>45993</v>
      </c>
      <c r="B339" t="s">
        <v>9</v>
      </c>
      <c r="C339" t="s">
        <v>112</v>
      </c>
      <c r="D339">
        <v>7</v>
      </c>
      <c r="E339" t="s">
        <v>67</v>
      </c>
      <c r="F339" t="s">
        <v>68</v>
      </c>
      <c r="G339" t="s">
        <v>316</v>
      </c>
      <c r="H339" s="1">
        <v>45047</v>
      </c>
      <c r="I339">
        <v>210</v>
      </c>
      <c r="J339" s="1" t="s">
        <v>539</v>
      </c>
      <c r="K339" t="str">
        <f t="shared" si="5"/>
        <v>Expired</v>
      </c>
    </row>
    <row r="340" spans="1:11" x14ac:dyDescent="0.3">
      <c r="A340" s="3">
        <v>45993</v>
      </c>
      <c r="B340" t="s">
        <v>31</v>
      </c>
      <c r="C340" t="s">
        <v>131</v>
      </c>
      <c r="D340">
        <v>12</v>
      </c>
      <c r="E340" t="s">
        <v>71</v>
      </c>
      <c r="F340" t="s">
        <v>72</v>
      </c>
      <c r="G340" t="s">
        <v>317</v>
      </c>
      <c r="H340" s="1">
        <v>46204</v>
      </c>
      <c r="I340">
        <v>480</v>
      </c>
      <c r="J340" s="1" t="s">
        <v>539</v>
      </c>
      <c r="K340" t="str">
        <f t="shared" si="5"/>
        <v>Non-Expired</v>
      </c>
    </row>
    <row r="341" spans="1:11" x14ac:dyDescent="0.3">
      <c r="A341" s="3">
        <v>45993</v>
      </c>
      <c r="B341" t="s">
        <v>80</v>
      </c>
      <c r="C341" t="s">
        <v>112</v>
      </c>
      <c r="D341">
        <v>23</v>
      </c>
      <c r="E341" t="s">
        <v>75</v>
      </c>
      <c r="F341" t="s">
        <v>16</v>
      </c>
      <c r="G341" t="s">
        <v>318</v>
      </c>
      <c r="H341" s="1">
        <v>46204</v>
      </c>
      <c r="I341">
        <v>1150</v>
      </c>
      <c r="J341" s="1" t="s">
        <v>539</v>
      </c>
      <c r="K341" t="str">
        <f t="shared" si="5"/>
        <v>Non-Expired</v>
      </c>
    </row>
    <row r="342" spans="1:11" x14ac:dyDescent="0.3">
      <c r="A342" s="3">
        <v>45993</v>
      </c>
      <c r="B342" t="s">
        <v>80</v>
      </c>
      <c r="C342" t="s">
        <v>78</v>
      </c>
      <c r="D342">
        <v>26</v>
      </c>
      <c r="E342" t="s">
        <v>11</v>
      </c>
      <c r="F342" t="s">
        <v>12</v>
      </c>
      <c r="G342" t="s">
        <v>294</v>
      </c>
      <c r="H342" s="1">
        <v>46113</v>
      </c>
      <c r="I342">
        <v>52</v>
      </c>
      <c r="J342" s="1" t="s">
        <v>539</v>
      </c>
      <c r="K342" t="str">
        <f t="shared" si="5"/>
        <v>Non-Expired</v>
      </c>
    </row>
    <row r="343" spans="1:11" x14ac:dyDescent="0.3">
      <c r="A343" s="3">
        <v>45993</v>
      </c>
      <c r="B343" t="s">
        <v>43</v>
      </c>
      <c r="C343" t="s">
        <v>149</v>
      </c>
      <c r="D343">
        <v>13</v>
      </c>
      <c r="E343" t="s">
        <v>15</v>
      </c>
      <c r="F343" t="s">
        <v>16</v>
      </c>
      <c r="G343" t="s">
        <v>193</v>
      </c>
      <c r="H343" s="1">
        <v>46539</v>
      </c>
      <c r="I343">
        <v>39</v>
      </c>
      <c r="J343" s="1" t="s">
        <v>539</v>
      </c>
      <c r="K343" t="str">
        <f t="shared" si="5"/>
        <v>Non-Expired</v>
      </c>
    </row>
    <row r="344" spans="1:11" x14ac:dyDescent="0.3">
      <c r="A344" s="3">
        <v>45993</v>
      </c>
      <c r="B344" t="s">
        <v>9</v>
      </c>
      <c r="C344" t="s">
        <v>210</v>
      </c>
      <c r="D344">
        <v>10</v>
      </c>
      <c r="E344" t="s">
        <v>20</v>
      </c>
      <c r="F344" t="s">
        <v>21</v>
      </c>
      <c r="G344" t="s">
        <v>319</v>
      </c>
      <c r="H344" s="1">
        <v>46722</v>
      </c>
      <c r="I344">
        <v>80</v>
      </c>
      <c r="J344" s="1" t="s">
        <v>539</v>
      </c>
      <c r="K344" t="str">
        <f t="shared" si="5"/>
        <v>Non-Expired</v>
      </c>
    </row>
    <row r="345" spans="1:11" x14ac:dyDescent="0.3">
      <c r="A345" s="3">
        <v>45993</v>
      </c>
      <c r="B345" t="s">
        <v>31</v>
      </c>
      <c r="C345" t="s">
        <v>149</v>
      </c>
      <c r="D345">
        <v>15</v>
      </c>
      <c r="E345" t="s">
        <v>25</v>
      </c>
      <c r="F345" t="s">
        <v>26</v>
      </c>
      <c r="G345" t="s">
        <v>287</v>
      </c>
      <c r="H345" s="1">
        <v>46722</v>
      </c>
      <c r="I345">
        <v>45</v>
      </c>
      <c r="J345" s="1" t="s">
        <v>539</v>
      </c>
      <c r="K345" t="str">
        <f t="shared" si="5"/>
        <v>Non-Expired</v>
      </c>
    </row>
    <row r="346" spans="1:11" x14ac:dyDescent="0.3">
      <c r="A346" s="3" t="s">
        <v>482</v>
      </c>
      <c r="B346" t="s">
        <v>97</v>
      </c>
      <c r="C346" t="s">
        <v>59</v>
      </c>
      <c r="D346">
        <v>11</v>
      </c>
      <c r="E346" t="s">
        <v>28</v>
      </c>
      <c r="F346" t="s">
        <v>29</v>
      </c>
      <c r="G346" t="s">
        <v>30</v>
      </c>
      <c r="H346" s="1">
        <v>46113</v>
      </c>
      <c r="I346">
        <v>44</v>
      </c>
      <c r="J346" s="1" t="s">
        <v>539</v>
      </c>
      <c r="K346" t="str">
        <f t="shared" si="5"/>
        <v>Non-Expired</v>
      </c>
    </row>
    <row r="347" spans="1:11" x14ac:dyDescent="0.3">
      <c r="A347" s="3" t="s">
        <v>482</v>
      </c>
      <c r="B347" t="s">
        <v>23</v>
      </c>
      <c r="C347" t="s">
        <v>74</v>
      </c>
      <c r="D347">
        <v>13</v>
      </c>
      <c r="E347" t="s">
        <v>33</v>
      </c>
      <c r="F347" t="s">
        <v>34</v>
      </c>
      <c r="G347" t="s">
        <v>111</v>
      </c>
      <c r="H347" s="1">
        <v>45505</v>
      </c>
      <c r="I347">
        <v>65</v>
      </c>
      <c r="J347" s="1" t="s">
        <v>539</v>
      </c>
      <c r="K347" t="str">
        <f t="shared" si="5"/>
        <v>Expired</v>
      </c>
    </row>
    <row r="348" spans="1:11" x14ac:dyDescent="0.3">
      <c r="A348" s="3" t="s">
        <v>482</v>
      </c>
      <c r="B348" t="s">
        <v>92</v>
      </c>
      <c r="C348" t="s">
        <v>55</v>
      </c>
      <c r="D348">
        <v>1</v>
      </c>
      <c r="E348" t="s">
        <v>36</v>
      </c>
      <c r="F348" t="s">
        <v>37</v>
      </c>
      <c r="G348" t="s">
        <v>226</v>
      </c>
      <c r="H348" s="1">
        <v>46235</v>
      </c>
      <c r="I348">
        <v>6</v>
      </c>
      <c r="J348" s="1" t="s">
        <v>539</v>
      </c>
      <c r="K348" t="str">
        <f t="shared" si="5"/>
        <v>Non-Expired</v>
      </c>
    </row>
    <row r="349" spans="1:11" x14ac:dyDescent="0.3">
      <c r="A349" s="3" t="s">
        <v>482</v>
      </c>
      <c r="B349" t="s">
        <v>39</v>
      </c>
      <c r="C349" t="s">
        <v>125</v>
      </c>
      <c r="D349">
        <v>3</v>
      </c>
      <c r="E349" t="s">
        <v>41</v>
      </c>
      <c r="F349" t="s">
        <v>12</v>
      </c>
      <c r="G349" t="s">
        <v>183</v>
      </c>
      <c r="H349" s="1">
        <v>46357</v>
      </c>
      <c r="I349">
        <v>12</v>
      </c>
      <c r="J349" s="1" t="s">
        <v>539</v>
      </c>
      <c r="K349" t="str">
        <f t="shared" si="5"/>
        <v>Non-Expired</v>
      </c>
    </row>
    <row r="350" spans="1:11" x14ac:dyDescent="0.3">
      <c r="A350" s="3" t="s">
        <v>482</v>
      </c>
      <c r="B350" t="s">
        <v>43</v>
      </c>
      <c r="C350" t="s">
        <v>78</v>
      </c>
      <c r="D350">
        <v>29</v>
      </c>
      <c r="E350" t="s">
        <v>45</v>
      </c>
      <c r="F350" t="s">
        <v>16</v>
      </c>
      <c r="G350" t="s">
        <v>168</v>
      </c>
      <c r="H350" s="1">
        <v>46508</v>
      </c>
      <c r="I350">
        <v>290</v>
      </c>
      <c r="J350" s="1" t="s">
        <v>539</v>
      </c>
      <c r="K350" t="str">
        <f t="shared" si="5"/>
        <v>Non-Expired</v>
      </c>
    </row>
    <row r="351" spans="1:11" x14ac:dyDescent="0.3">
      <c r="A351" s="3" t="s">
        <v>482</v>
      </c>
      <c r="B351" t="s">
        <v>9</v>
      </c>
      <c r="C351" t="s">
        <v>103</v>
      </c>
      <c r="D351">
        <v>29</v>
      </c>
      <c r="E351" t="s">
        <v>49</v>
      </c>
      <c r="F351" t="s">
        <v>50</v>
      </c>
      <c r="G351" t="s">
        <v>320</v>
      </c>
      <c r="H351" s="1">
        <v>46143</v>
      </c>
      <c r="I351">
        <v>145</v>
      </c>
      <c r="J351" s="1" t="s">
        <v>539</v>
      </c>
      <c r="K351" t="str">
        <f t="shared" si="5"/>
        <v>Non-Expired</v>
      </c>
    </row>
    <row r="352" spans="1:11" x14ac:dyDescent="0.3">
      <c r="A352" s="3" t="s">
        <v>482</v>
      </c>
      <c r="B352" t="s">
        <v>18</v>
      </c>
      <c r="C352" t="s">
        <v>10</v>
      </c>
      <c r="D352">
        <v>30</v>
      </c>
      <c r="E352" t="s">
        <v>52</v>
      </c>
      <c r="F352" t="s">
        <v>53</v>
      </c>
      <c r="G352" t="s">
        <v>321</v>
      </c>
      <c r="H352" s="1">
        <v>45231</v>
      </c>
      <c r="I352">
        <v>60</v>
      </c>
      <c r="J352" s="1" t="s">
        <v>539</v>
      </c>
      <c r="K352" t="str">
        <f t="shared" si="5"/>
        <v>Expired</v>
      </c>
    </row>
    <row r="353" spans="1:11" x14ac:dyDescent="0.3">
      <c r="A353" s="3" t="s">
        <v>482</v>
      </c>
      <c r="B353" t="s">
        <v>39</v>
      </c>
      <c r="C353" t="s">
        <v>203</v>
      </c>
      <c r="D353">
        <v>26</v>
      </c>
      <c r="E353" t="s">
        <v>56</v>
      </c>
      <c r="F353" t="s">
        <v>53</v>
      </c>
      <c r="G353" t="s">
        <v>322</v>
      </c>
      <c r="H353" s="1">
        <v>46722</v>
      </c>
      <c r="I353">
        <v>260</v>
      </c>
      <c r="J353" s="1" t="s">
        <v>539</v>
      </c>
      <c r="K353" t="str">
        <f t="shared" si="5"/>
        <v>Non-Expired</v>
      </c>
    </row>
    <row r="354" spans="1:11" x14ac:dyDescent="0.3">
      <c r="A354" s="3" t="s">
        <v>483</v>
      </c>
      <c r="B354" t="s">
        <v>90</v>
      </c>
      <c r="C354" t="s">
        <v>119</v>
      </c>
      <c r="D354">
        <v>8</v>
      </c>
      <c r="E354" t="s">
        <v>60</v>
      </c>
      <c r="F354" t="s">
        <v>61</v>
      </c>
      <c r="G354" t="s">
        <v>323</v>
      </c>
      <c r="H354" s="1">
        <v>46753</v>
      </c>
      <c r="I354">
        <v>960</v>
      </c>
      <c r="J354" s="1" t="s">
        <v>539</v>
      </c>
      <c r="K354" t="str">
        <f t="shared" si="5"/>
        <v>Non-Expired</v>
      </c>
    </row>
    <row r="355" spans="1:11" x14ac:dyDescent="0.3">
      <c r="A355" s="3" t="s">
        <v>483</v>
      </c>
      <c r="B355" t="s">
        <v>9</v>
      </c>
      <c r="C355" t="s">
        <v>59</v>
      </c>
      <c r="D355">
        <v>24</v>
      </c>
      <c r="E355" t="s">
        <v>63</v>
      </c>
      <c r="F355" t="s">
        <v>50</v>
      </c>
      <c r="G355" t="s">
        <v>158</v>
      </c>
      <c r="H355" s="1">
        <v>46204</v>
      </c>
      <c r="I355">
        <v>480</v>
      </c>
      <c r="J355" s="1" t="s">
        <v>539</v>
      </c>
      <c r="K355" t="str">
        <f t="shared" si="5"/>
        <v>Non-Expired</v>
      </c>
    </row>
    <row r="356" spans="1:11" x14ac:dyDescent="0.3">
      <c r="A356" s="3" t="s">
        <v>483</v>
      </c>
      <c r="B356" t="s">
        <v>9</v>
      </c>
      <c r="C356" t="s">
        <v>119</v>
      </c>
      <c r="D356">
        <v>22</v>
      </c>
      <c r="E356" t="s">
        <v>67</v>
      </c>
      <c r="F356" t="s">
        <v>68</v>
      </c>
      <c r="G356" t="s">
        <v>308</v>
      </c>
      <c r="H356" s="1">
        <v>46539</v>
      </c>
      <c r="I356">
        <v>660</v>
      </c>
      <c r="J356" s="1" t="s">
        <v>539</v>
      </c>
      <c r="K356" t="str">
        <f t="shared" si="5"/>
        <v>Non-Expired</v>
      </c>
    </row>
    <row r="357" spans="1:11" x14ac:dyDescent="0.3">
      <c r="A357" s="3" t="s">
        <v>483</v>
      </c>
      <c r="B357" t="s">
        <v>47</v>
      </c>
      <c r="C357" t="s">
        <v>48</v>
      </c>
      <c r="D357">
        <v>28</v>
      </c>
      <c r="E357" t="s">
        <v>71</v>
      </c>
      <c r="F357" t="s">
        <v>72</v>
      </c>
      <c r="G357" t="s">
        <v>204</v>
      </c>
      <c r="H357" s="1">
        <v>45658</v>
      </c>
      <c r="I357">
        <v>1120</v>
      </c>
      <c r="J357" s="1" t="s">
        <v>539</v>
      </c>
      <c r="K357" t="str">
        <f t="shared" si="5"/>
        <v>Expired</v>
      </c>
    </row>
    <row r="358" spans="1:11" x14ac:dyDescent="0.3">
      <c r="A358" s="3" t="s">
        <v>483</v>
      </c>
      <c r="B358" t="s">
        <v>23</v>
      </c>
      <c r="C358" t="s">
        <v>203</v>
      </c>
      <c r="D358">
        <v>21</v>
      </c>
      <c r="E358" t="s">
        <v>75</v>
      </c>
      <c r="F358" t="s">
        <v>16</v>
      </c>
      <c r="G358" t="s">
        <v>268</v>
      </c>
      <c r="H358" s="1">
        <v>46327</v>
      </c>
      <c r="I358">
        <v>1050</v>
      </c>
      <c r="J358" s="1" t="s">
        <v>539</v>
      </c>
      <c r="K358" t="str">
        <f t="shared" si="5"/>
        <v>Non-Expired</v>
      </c>
    </row>
    <row r="359" spans="1:11" x14ac:dyDescent="0.3">
      <c r="A359" s="3" t="s">
        <v>483</v>
      </c>
      <c r="B359" t="s">
        <v>80</v>
      </c>
      <c r="C359" t="s">
        <v>24</v>
      </c>
      <c r="D359">
        <v>23</v>
      </c>
      <c r="E359" t="s">
        <v>11</v>
      </c>
      <c r="F359" t="s">
        <v>12</v>
      </c>
      <c r="G359" t="s">
        <v>263</v>
      </c>
      <c r="H359" s="1">
        <v>46204</v>
      </c>
      <c r="I359">
        <v>46</v>
      </c>
      <c r="J359" s="1" t="s">
        <v>539</v>
      </c>
      <c r="K359" t="str">
        <f t="shared" si="5"/>
        <v>Non-Expired</v>
      </c>
    </row>
    <row r="360" spans="1:11" x14ac:dyDescent="0.3">
      <c r="A360" s="3" t="s">
        <v>483</v>
      </c>
      <c r="B360" t="s">
        <v>9</v>
      </c>
      <c r="C360" t="s">
        <v>48</v>
      </c>
      <c r="D360">
        <v>15</v>
      </c>
      <c r="E360" t="s">
        <v>15</v>
      </c>
      <c r="F360" t="s">
        <v>16</v>
      </c>
      <c r="G360" t="s">
        <v>295</v>
      </c>
      <c r="H360" s="1">
        <v>46235</v>
      </c>
      <c r="I360">
        <v>45</v>
      </c>
      <c r="J360" s="1" t="s">
        <v>539</v>
      </c>
      <c r="K360" t="str">
        <f t="shared" si="5"/>
        <v>Non-Expired</v>
      </c>
    </row>
    <row r="361" spans="1:11" x14ac:dyDescent="0.3">
      <c r="A361" s="3" t="s">
        <v>483</v>
      </c>
      <c r="B361" t="s">
        <v>9</v>
      </c>
      <c r="C361" t="s">
        <v>112</v>
      </c>
      <c r="D361">
        <v>28</v>
      </c>
      <c r="E361" t="s">
        <v>20</v>
      </c>
      <c r="F361" t="s">
        <v>21</v>
      </c>
      <c r="G361" t="s">
        <v>179</v>
      </c>
      <c r="H361" s="1">
        <v>46753</v>
      </c>
      <c r="I361">
        <v>224</v>
      </c>
      <c r="J361" s="1" t="s">
        <v>539</v>
      </c>
      <c r="K361" t="str">
        <f t="shared" si="5"/>
        <v>Non-Expired</v>
      </c>
    </row>
    <row r="362" spans="1:11" x14ac:dyDescent="0.3">
      <c r="A362" s="3" t="s">
        <v>484</v>
      </c>
      <c r="B362" t="s">
        <v>80</v>
      </c>
      <c r="C362" t="s">
        <v>214</v>
      </c>
      <c r="D362">
        <v>2</v>
      </c>
      <c r="E362" t="s">
        <v>25</v>
      </c>
      <c r="F362" t="s">
        <v>26</v>
      </c>
      <c r="G362" t="s">
        <v>27</v>
      </c>
      <c r="H362" s="1">
        <v>45536</v>
      </c>
      <c r="I362">
        <v>6</v>
      </c>
      <c r="J362" s="1" t="s">
        <v>539</v>
      </c>
      <c r="K362" t="str">
        <f t="shared" si="5"/>
        <v>Expired</v>
      </c>
    </row>
    <row r="363" spans="1:11" x14ac:dyDescent="0.3">
      <c r="A363" s="3" t="s">
        <v>484</v>
      </c>
      <c r="B363" t="s">
        <v>47</v>
      </c>
      <c r="C363" t="s">
        <v>139</v>
      </c>
      <c r="D363">
        <v>9</v>
      </c>
      <c r="E363" t="s">
        <v>28</v>
      </c>
      <c r="F363" t="s">
        <v>29</v>
      </c>
      <c r="G363" t="s">
        <v>324</v>
      </c>
      <c r="H363" s="1">
        <v>46600</v>
      </c>
      <c r="I363">
        <v>36</v>
      </c>
      <c r="J363" s="1" t="s">
        <v>539</v>
      </c>
      <c r="K363" t="str">
        <f t="shared" si="5"/>
        <v>Non-Expired</v>
      </c>
    </row>
    <row r="364" spans="1:11" x14ac:dyDescent="0.3">
      <c r="A364" s="3" t="s">
        <v>484</v>
      </c>
      <c r="B364" t="s">
        <v>9</v>
      </c>
      <c r="C364" t="s">
        <v>44</v>
      </c>
      <c r="D364">
        <v>25</v>
      </c>
      <c r="E364" t="s">
        <v>33</v>
      </c>
      <c r="F364" t="s">
        <v>34</v>
      </c>
      <c r="G364" t="s">
        <v>225</v>
      </c>
      <c r="H364" s="1">
        <v>46113</v>
      </c>
      <c r="I364">
        <v>125</v>
      </c>
      <c r="J364" s="1" t="s">
        <v>539</v>
      </c>
      <c r="K364" t="str">
        <f t="shared" si="5"/>
        <v>Non-Expired</v>
      </c>
    </row>
    <row r="365" spans="1:11" x14ac:dyDescent="0.3">
      <c r="A365" s="3" t="s">
        <v>484</v>
      </c>
      <c r="B365" t="s">
        <v>85</v>
      </c>
      <c r="C365" t="s">
        <v>48</v>
      </c>
      <c r="D365">
        <v>29</v>
      </c>
      <c r="E365" t="s">
        <v>36</v>
      </c>
      <c r="F365" t="s">
        <v>37</v>
      </c>
      <c r="G365" t="s">
        <v>270</v>
      </c>
      <c r="H365" s="1">
        <v>46692</v>
      </c>
      <c r="I365">
        <v>174</v>
      </c>
      <c r="J365" s="1" t="s">
        <v>539</v>
      </c>
      <c r="K365" t="str">
        <f t="shared" si="5"/>
        <v>Non-Expired</v>
      </c>
    </row>
    <row r="366" spans="1:11" x14ac:dyDescent="0.3">
      <c r="A366" s="3" t="s">
        <v>484</v>
      </c>
      <c r="B366" t="s">
        <v>9</v>
      </c>
      <c r="C366" t="s">
        <v>101</v>
      </c>
      <c r="D366">
        <v>7</v>
      </c>
      <c r="E366" t="s">
        <v>41</v>
      </c>
      <c r="F366" t="s">
        <v>12</v>
      </c>
      <c r="G366" t="s">
        <v>281</v>
      </c>
      <c r="H366" s="1">
        <v>46082</v>
      </c>
      <c r="I366">
        <v>28</v>
      </c>
      <c r="J366" s="1" t="s">
        <v>539</v>
      </c>
      <c r="K366" t="str">
        <f t="shared" si="5"/>
        <v>Non-Expired</v>
      </c>
    </row>
    <row r="367" spans="1:11" x14ac:dyDescent="0.3">
      <c r="A367" s="3" t="s">
        <v>484</v>
      </c>
      <c r="B367" t="s">
        <v>9</v>
      </c>
      <c r="C367" t="s">
        <v>44</v>
      </c>
      <c r="D367">
        <v>19</v>
      </c>
      <c r="E367" t="s">
        <v>45</v>
      </c>
      <c r="F367" t="s">
        <v>16</v>
      </c>
      <c r="G367" t="s">
        <v>260</v>
      </c>
      <c r="H367" s="1">
        <v>46296</v>
      </c>
      <c r="I367">
        <v>190</v>
      </c>
      <c r="J367" s="1" t="s">
        <v>539</v>
      </c>
      <c r="K367" t="str">
        <f t="shared" si="5"/>
        <v>Non-Expired</v>
      </c>
    </row>
    <row r="368" spans="1:11" x14ac:dyDescent="0.3">
      <c r="A368" s="3" t="s">
        <v>484</v>
      </c>
      <c r="B368" t="s">
        <v>47</v>
      </c>
      <c r="C368" t="s">
        <v>40</v>
      </c>
      <c r="D368">
        <v>23</v>
      </c>
      <c r="E368" t="s">
        <v>49</v>
      </c>
      <c r="F368" t="s">
        <v>50</v>
      </c>
      <c r="G368" t="s">
        <v>325</v>
      </c>
      <c r="H368" s="1">
        <v>46508</v>
      </c>
      <c r="I368">
        <v>115</v>
      </c>
      <c r="J368" s="1" t="s">
        <v>539</v>
      </c>
      <c r="K368" t="str">
        <f t="shared" si="5"/>
        <v>Non-Expired</v>
      </c>
    </row>
    <row r="369" spans="1:11" x14ac:dyDescent="0.3">
      <c r="A369" s="3" t="s">
        <v>484</v>
      </c>
      <c r="B369" t="s">
        <v>80</v>
      </c>
      <c r="C369" t="s">
        <v>162</v>
      </c>
      <c r="D369">
        <v>21</v>
      </c>
      <c r="E369" t="s">
        <v>52</v>
      </c>
      <c r="F369" t="s">
        <v>53</v>
      </c>
      <c r="G369" t="s">
        <v>326</v>
      </c>
      <c r="H369" s="1">
        <v>46722</v>
      </c>
      <c r="I369">
        <v>42</v>
      </c>
      <c r="J369" s="1" t="s">
        <v>539</v>
      </c>
      <c r="K369" t="str">
        <f t="shared" si="5"/>
        <v>Non-Expired</v>
      </c>
    </row>
    <row r="370" spans="1:11" x14ac:dyDescent="0.3">
      <c r="A370" s="3" t="s">
        <v>485</v>
      </c>
      <c r="B370" t="s">
        <v>65</v>
      </c>
      <c r="C370" t="s">
        <v>40</v>
      </c>
      <c r="D370">
        <v>29</v>
      </c>
      <c r="E370" t="s">
        <v>56</v>
      </c>
      <c r="F370" t="s">
        <v>53</v>
      </c>
      <c r="G370" t="s">
        <v>327</v>
      </c>
      <c r="H370" s="1">
        <v>46266</v>
      </c>
      <c r="I370">
        <v>290</v>
      </c>
      <c r="J370" s="1" t="s">
        <v>539</v>
      </c>
      <c r="K370" t="str">
        <f t="shared" si="5"/>
        <v>Non-Expired</v>
      </c>
    </row>
    <row r="371" spans="1:11" x14ac:dyDescent="0.3">
      <c r="A371" s="3" t="s">
        <v>485</v>
      </c>
      <c r="B371" t="s">
        <v>18</v>
      </c>
      <c r="C371" t="s">
        <v>44</v>
      </c>
      <c r="D371">
        <v>23</v>
      </c>
      <c r="E371" t="s">
        <v>60</v>
      </c>
      <c r="F371" t="s">
        <v>61</v>
      </c>
      <c r="G371" t="s">
        <v>328</v>
      </c>
      <c r="H371" s="1">
        <v>45474</v>
      </c>
      <c r="I371">
        <v>2760</v>
      </c>
      <c r="J371" s="1" t="s">
        <v>539</v>
      </c>
      <c r="K371" t="str">
        <f t="shared" si="5"/>
        <v>Expired</v>
      </c>
    </row>
    <row r="372" spans="1:11" x14ac:dyDescent="0.3">
      <c r="A372" s="3" t="s">
        <v>485</v>
      </c>
      <c r="B372" t="s">
        <v>90</v>
      </c>
      <c r="C372" t="s">
        <v>48</v>
      </c>
      <c r="D372">
        <v>1</v>
      </c>
      <c r="E372" t="s">
        <v>63</v>
      </c>
      <c r="F372" t="s">
        <v>50</v>
      </c>
      <c r="G372" t="s">
        <v>329</v>
      </c>
      <c r="H372" s="1">
        <v>46539</v>
      </c>
      <c r="I372">
        <v>20</v>
      </c>
      <c r="J372" s="1" t="s">
        <v>539</v>
      </c>
      <c r="K372" t="str">
        <f t="shared" si="5"/>
        <v>Non-Expired</v>
      </c>
    </row>
    <row r="373" spans="1:11" x14ac:dyDescent="0.3">
      <c r="A373" s="3" t="s">
        <v>485</v>
      </c>
      <c r="B373" t="s">
        <v>23</v>
      </c>
      <c r="C373" t="s">
        <v>99</v>
      </c>
      <c r="D373">
        <v>14</v>
      </c>
      <c r="E373" t="s">
        <v>67</v>
      </c>
      <c r="F373" t="s">
        <v>68</v>
      </c>
      <c r="G373" t="s">
        <v>316</v>
      </c>
      <c r="H373" s="1">
        <v>46357</v>
      </c>
      <c r="I373">
        <v>420</v>
      </c>
      <c r="J373" s="1" t="s">
        <v>539</v>
      </c>
      <c r="K373" t="str">
        <f t="shared" si="5"/>
        <v>Non-Expired</v>
      </c>
    </row>
    <row r="374" spans="1:11" x14ac:dyDescent="0.3">
      <c r="A374" s="3" t="s">
        <v>485</v>
      </c>
      <c r="B374" t="s">
        <v>47</v>
      </c>
      <c r="C374" t="s">
        <v>83</v>
      </c>
      <c r="D374">
        <v>3</v>
      </c>
      <c r="E374" t="s">
        <v>71</v>
      </c>
      <c r="F374" t="s">
        <v>72</v>
      </c>
      <c r="G374" t="s">
        <v>73</v>
      </c>
      <c r="H374" s="1">
        <v>46054</v>
      </c>
      <c r="I374">
        <v>120</v>
      </c>
      <c r="J374" s="1" t="s">
        <v>539</v>
      </c>
      <c r="K374" t="str">
        <f t="shared" si="5"/>
        <v>Non-Expired</v>
      </c>
    </row>
    <row r="375" spans="1:11" x14ac:dyDescent="0.3">
      <c r="A375" s="3" t="s">
        <v>485</v>
      </c>
      <c r="B375" t="s">
        <v>18</v>
      </c>
      <c r="C375" t="s">
        <v>88</v>
      </c>
      <c r="D375">
        <v>27</v>
      </c>
      <c r="E375" t="s">
        <v>75</v>
      </c>
      <c r="F375" t="s">
        <v>16</v>
      </c>
      <c r="G375" t="s">
        <v>310</v>
      </c>
      <c r="H375" s="1">
        <v>46235</v>
      </c>
      <c r="I375">
        <v>1350</v>
      </c>
      <c r="J375" s="1" t="s">
        <v>539</v>
      </c>
      <c r="K375" t="str">
        <f t="shared" si="5"/>
        <v>Non-Expired</v>
      </c>
    </row>
    <row r="376" spans="1:11" x14ac:dyDescent="0.3">
      <c r="A376" s="3" t="s">
        <v>485</v>
      </c>
      <c r="B376" t="s">
        <v>9</v>
      </c>
      <c r="C376" t="s">
        <v>70</v>
      </c>
      <c r="D376">
        <v>23</v>
      </c>
      <c r="E376" t="s">
        <v>11</v>
      </c>
      <c r="F376" t="s">
        <v>12</v>
      </c>
      <c r="G376" t="s">
        <v>294</v>
      </c>
      <c r="H376" s="1">
        <v>46447</v>
      </c>
      <c r="I376">
        <v>46</v>
      </c>
      <c r="J376" s="1" t="s">
        <v>539</v>
      </c>
      <c r="K376" t="str">
        <f t="shared" si="5"/>
        <v>Non-Expired</v>
      </c>
    </row>
    <row r="377" spans="1:11" x14ac:dyDescent="0.3">
      <c r="A377" s="3" t="s">
        <v>485</v>
      </c>
      <c r="B377" t="s">
        <v>90</v>
      </c>
      <c r="C377" t="s">
        <v>154</v>
      </c>
      <c r="D377">
        <v>30</v>
      </c>
      <c r="E377" t="s">
        <v>15</v>
      </c>
      <c r="F377" t="s">
        <v>16</v>
      </c>
      <c r="G377" t="s">
        <v>330</v>
      </c>
      <c r="H377" s="1">
        <v>45597</v>
      </c>
      <c r="I377">
        <v>90</v>
      </c>
      <c r="J377" s="1" t="s">
        <v>539</v>
      </c>
      <c r="K377" t="str">
        <f t="shared" si="5"/>
        <v>Expired</v>
      </c>
    </row>
    <row r="378" spans="1:11" x14ac:dyDescent="0.3">
      <c r="A378" s="3" t="s">
        <v>486</v>
      </c>
      <c r="B378" t="s">
        <v>80</v>
      </c>
      <c r="C378" t="s">
        <v>10</v>
      </c>
      <c r="D378">
        <v>23</v>
      </c>
      <c r="E378" t="s">
        <v>20</v>
      </c>
      <c r="F378" t="s">
        <v>21</v>
      </c>
      <c r="G378" t="s">
        <v>331</v>
      </c>
      <c r="H378" s="1">
        <v>46266</v>
      </c>
      <c r="I378">
        <v>184</v>
      </c>
      <c r="J378" s="1" t="s">
        <v>539</v>
      </c>
      <c r="K378" t="str">
        <f t="shared" si="5"/>
        <v>Non-Expired</v>
      </c>
    </row>
    <row r="379" spans="1:11" x14ac:dyDescent="0.3">
      <c r="A379" s="3" t="s">
        <v>486</v>
      </c>
      <c r="B379" t="s">
        <v>97</v>
      </c>
      <c r="C379" t="s">
        <v>107</v>
      </c>
      <c r="D379">
        <v>19</v>
      </c>
      <c r="E379" t="s">
        <v>25</v>
      </c>
      <c r="F379" t="s">
        <v>26</v>
      </c>
      <c r="G379" t="s">
        <v>269</v>
      </c>
      <c r="H379" s="1">
        <v>46266</v>
      </c>
      <c r="I379">
        <v>57</v>
      </c>
      <c r="J379" s="1" t="s">
        <v>539</v>
      </c>
      <c r="K379" t="str">
        <f t="shared" si="5"/>
        <v>Non-Expired</v>
      </c>
    </row>
    <row r="380" spans="1:11" x14ac:dyDescent="0.3">
      <c r="A380" s="3" t="s">
        <v>486</v>
      </c>
      <c r="B380" t="s">
        <v>9</v>
      </c>
      <c r="C380" t="s">
        <v>119</v>
      </c>
      <c r="D380">
        <v>23</v>
      </c>
      <c r="E380" t="s">
        <v>28</v>
      </c>
      <c r="F380" t="s">
        <v>29</v>
      </c>
      <c r="G380" t="s">
        <v>332</v>
      </c>
      <c r="H380" s="1">
        <v>46478</v>
      </c>
      <c r="I380">
        <v>92</v>
      </c>
      <c r="J380" s="1" t="s">
        <v>539</v>
      </c>
      <c r="K380" t="str">
        <f t="shared" si="5"/>
        <v>Non-Expired</v>
      </c>
    </row>
    <row r="381" spans="1:11" x14ac:dyDescent="0.3">
      <c r="A381" s="3" t="s">
        <v>486</v>
      </c>
      <c r="B381" t="s">
        <v>39</v>
      </c>
      <c r="C381" t="s">
        <v>154</v>
      </c>
      <c r="D381">
        <v>8</v>
      </c>
      <c r="E381" t="s">
        <v>33</v>
      </c>
      <c r="F381" t="s">
        <v>34</v>
      </c>
      <c r="G381" t="s">
        <v>333</v>
      </c>
      <c r="H381" s="1">
        <v>46692</v>
      </c>
      <c r="I381">
        <v>40</v>
      </c>
      <c r="J381" s="1" t="s">
        <v>539</v>
      </c>
      <c r="K381" t="str">
        <f t="shared" si="5"/>
        <v>Non-Expired</v>
      </c>
    </row>
    <row r="382" spans="1:11" x14ac:dyDescent="0.3">
      <c r="A382" s="3" t="s">
        <v>486</v>
      </c>
      <c r="B382" t="s">
        <v>9</v>
      </c>
      <c r="C382" t="s">
        <v>214</v>
      </c>
      <c r="D382">
        <v>22</v>
      </c>
      <c r="E382" t="s">
        <v>36</v>
      </c>
      <c r="F382" t="s">
        <v>37</v>
      </c>
      <c r="G382" t="s">
        <v>38</v>
      </c>
      <c r="H382" s="1">
        <v>46357</v>
      </c>
      <c r="I382">
        <v>132</v>
      </c>
      <c r="J382" s="1" t="s">
        <v>539</v>
      </c>
      <c r="K382" t="str">
        <f t="shared" si="5"/>
        <v>Non-Expired</v>
      </c>
    </row>
    <row r="383" spans="1:11" x14ac:dyDescent="0.3">
      <c r="A383" s="3" t="s">
        <v>486</v>
      </c>
      <c r="B383" t="s">
        <v>9</v>
      </c>
      <c r="C383" t="s">
        <v>170</v>
      </c>
      <c r="D383">
        <v>19</v>
      </c>
      <c r="E383" t="s">
        <v>41</v>
      </c>
      <c r="F383" t="s">
        <v>12</v>
      </c>
      <c r="G383" t="s">
        <v>334</v>
      </c>
      <c r="H383" s="1">
        <v>45627</v>
      </c>
      <c r="I383">
        <v>76</v>
      </c>
      <c r="J383" s="1" t="s">
        <v>539</v>
      </c>
      <c r="K383" t="str">
        <f t="shared" si="5"/>
        <v>Expired</v>
      </c>
    </row>
    <row r="384" spans="1:11" x14ac:dyDescent="0.3">
      <c r="A384" s="3" t="s">
        <v>486</v>
      </c>
      <c r="B384" t="s">
        <v>65</v>
      </c>
      <c r="C384" t="s">
        <v>139</v>
      </c>
      <c r="D384">
        <v>15</v>
      </c>
      <c r="E384" t="s">
        <v>45</v>
      </c>
      <c r="F384" t="s">
        <v>16</v>
      </c>
      <c r="G384" t="s">
        <v>335</v>
      </c>
      <c r="H384" s="1">
        <v>46174</v>
      </c>
      <c r="I384">
        <v>150</v>
      </c>
      <c r="J384" s="1" t="s">
        <v>539</v>
      </c>
      <c r="K384" t="str">
        <f t="shared" si="5"/>
        <v>Non-Expired</v>
      </c>
    </row>
    <row r="385" spans="1:11" x14ac:dyDescent="0.3">
      <c r="A385" s="3" t="s">
        <v>486</v>
      </c>
      <c r="B385" t="s">
        <v>97</v>
      </c>
      <c r="C385" t="s">
        <v>103</v>
      </c>
      <c r="D385">
        <v>19</v>
      </c>
      <c r="E385" t="s">
        <v>49</v>
      </c>
      <c r="F385" t="s">
        <v>50</v>
      </c>
      <c r="G385" t="s">
        <v>300</v>
      </c>
      <c r="H385" s="1">
        <v>46419</v>
      </c>
      <c r="I385">
        <v>95</v>
      </c>
      <c r="J385" s="1" t="s">
        <v>539</v>
      </c>
      <c r="K385" t="str">
        <f t="shared" si="5"/>
        <v>Non-Expired</v>
      </c>
    </row>
    <row r="386" spans="1:11" x14ac:dyDescent="0.3">
      <c r="A386" s="3" t="s">
        <v>487</v>
      </c>
      <c r="B386" t="s">
        <v>47</v>
      </c>
      <c r="C386" t="s">
        <v>32</v>
      </c>
      <c r="D386">
        <v>24</v>
      </c>
      <c r="E386" t="s">
        <v>52</v>
      </c>
      <c r="F386" t="s">
        <v>53</v>
      </c>
      <c r="G386" t="s">
        <v>336</v>
      </c>
      <c r="H386" s="1">
        <v>46235</v>
      </c>
      <c r="I386">
        <v>48</v>
      </c>
      <c r="J386" s="1" t="s">
        <v>539</v>
      </c>
      <c r="K386" t="str">
        <f t="shared" si="5"/>
        <v>Non-Expired</v>
      </c>
    </row>
    <row r="387" spans="1:11" x14ac:dyDescent="0.3">
      <c r="A387" s="3" t="s">
        <v>487</v>
      </c>
      <c r="B387" t="s">
        <v>9</v>
      </c>
      <c r="C387" t="s">
        <v>128</v>
      </c>
      <c r="D387">
        <v>15</v>
      </c>
      <c r="E387" t="s">
        <v>56</v>
      </c>
      <c r="F387" t="s">
        <v>53</v>
      </c>
      <c r="G387" t="s">
        <v>337</v>
      </c>
      <c r="H387" s="1">
        <v>46784</v>
      </c>
      <c r="I387">
        <v>150</v>
      </c>
      <c r="J387" s="1" t="s">
        <v>539</v>
      </c>
      <c r="K387" t="str">
        <f t="shared" ref="K387:K450" si="6">IF(H387&lt;=DATE(2025,5,5),"Expired","Non-Expired")</f>
        <v>Non-Expired</v>
      </c>
    </row>
    <row r="388" spans="1:11" x14ac:dyDescent="0.3">
      <c r="A388" s="3" t="s">
        <v>487</v>
      </c>
      <c r="B388" t="s">
        <v>39</v>
      </c>
      <c r="C388" t="s">
        <v>107</v>
      </c>
      <c r="D388">
        <v>2</v>
      </c>
      <c r="E388" t="s">
        <v>60</v>
      </c>
      <c r="F388" t="s">
        <v>61</v>
      </c>
      <c r="G388" t="s">
        <v>338</v>
      </c>
      <c r="H388" s="1">
        <v>46204</v>
      </c>
      <c r="I388">
        <v>240</v>
      </c>
      <c r="J388" s="1" t="s">
        <v>539</v>
      </c>
      <c r="K388" t="str">
        <f t="shared" si="6"/>
        <v>Non-Expired</v>
      </c>
    </row>
    <row r="389" spans="1:11" x14ac:dyDescent="0.3">
      <c r="A389" s="3" t="s">
        <v>487</v>
      </c>
      <c r="B389" t="s">
        <v>23</v>
      </c>
      <c r="C389" t="s">
        <v>173</v>
      </c>
      <c r="D389">
        <v>1</v>
      </c>
      <c r="E389" t="s">
        <v>63</v>
      </c>
      <c r="F389" t="s">
        <v>50</v>
      </c>
      <c r="G389" t="s">
        <v>201</v>
      </c>
      <c r="H389" s="1">
        <v>46478</v>
      </c>
      <c r="I389">
        <v>20</v>
      </c>
      <c r="J389" s="1" t="s">
        <v>539</v>
      </c>
      <c r="K389" t="str">
        <f t="shared" si="6"/>
        <v>Non-Expired</v>
      </c>
    </row>
    <row r="390" spans="1:11" x14ac:dyDescent="0.3">
      <c r="A390" s="3" t="s">
        <v>487</v>
      </c>
      <c r="B390" t="s">
        <v>31</v>
      </c>
      <c r="C390" t="s">
        <v>59</v>
      </c>
      <c r="D390">
        <v>5</v>
      </c>
      <c r="E390" t="s">
        <v>67</v>
      </c>
      <c r="F390" t="s">
        <v>68</v>
      </c>
      <c r="G390" t="s">
        <v>339</v>
      </c>
      <c r="H390" s="1">
        <v>46204</v>
      </c>
      <c r="I390">
        <v>150</v>
      </c>
      <c r="J390" s="1" t="s">
        <v>539</v>
      </c>
      <c r="K390" t="str">
        <f t="shared" si="6"/>
        <v>Non-Expired</v>
      </c>
    </row>
    <row r="391" spans="1:11" x14ac:dyDescent="0.3">
      <c r="A391" s="3" t="s">
        <v>487</v>
      </c>
      <c r="B391" t="s">
        <v>9</v>
      </c>
      <c r="C391" t="s">
        <v>170</v>
      </c>
      <c r="D391">
        <v>28</v>
      </c>
      <c r="E391" t="s">
        <v>71</v>
      </c>
      <c r="F391" t="s">
        <v>72</v>
      </c>
      <c r="G391" t="s">
        <v>340</v>
      </c>
      <c r="H391" s="1">
        <v>46266</v>
      </c>
      <c r="I391">
        <v>1120</v>
      </c>
      <c r="J391" s="1" t="s">
        <v>539</v>
      </c>
      <c r="K391" t="str">
        <f t="shared" si="6"/>
        <v>Non-Expired</v>
      </c>
    </row>
    <row r="392" spans="1:11" x14ac:dyDescent="0.3">
      <c r="A392" s="3" t="s">
        <v>487</v>
      </c>
      <c r="B392" t="s">
        <v>23</v>
      </c>
      <c r="C392" t="s">
        <v>40</v>
      </c>
      <c r="D392">
        <v>16</v>
      </c>
      <c r="E392" t="s">
        <v>75</v>
      </c>
      <c r="F392" t="s">
        <v>16</v>
      </c>
      <c r="G392" t="s">
        <v>262</v>
      </c>
      <c r="H392" s="1">
        <v>45505</v>
      </c>
      <c r="I392">
        <v>800</v>
      </c>
      <c r="J392" s="1" t="s">
        <v>539</v>
      </c>
      <c r="K392" t="str">
        <f t="shared" si="6"/>
        <v>Expired</v>
      </c>
    </row>
    <row r="393" spans="1:11" x14ac:dyDescent="0.3">
      <c r="A393" s="3" t="s">
        <v>487</v>
      </c>
      <c r="B393" t="s">
        <v>58</v>
      </c>
      <c r="C393" t="s">
        <v>103</v>
      </c>
      <c r="D393">
        <v>5</v>
      </c>
      <c r="E393" t="s">
        <v>11</v>
      </c>
      <c r="F393" t="s">
        <v>12</v>
      </c>
      <c r="G393" t="s">
        <v>256</v>
      </c>
      <c r="H393" s="1">
        <v>46753</v>
      </c>
      <c r="I393">
        <v>10</v>
      </c>
      <c r="J393" s="1" t="s">
        <v>539</v>
      </c>
      <c r="K393" t="str">
        <f t="shared" si="6"/>
        <v>Non-Expired</v>
      </c>
    </row>
    <row r="394" spans="1:11" x14ac:dyDescent="0.3">
      <c r="A394" s="3" t="s">
        <v>488</v>
      </c>
      <c r="B394" t="s">
        <v>39</v>
      </c>
      <c r="C394" t="s">
        <v>131</v>
      </c>
      <c r="D394">
        <v>18</v>
      </c>
      <c r="E394" t="s">
        <v>15</v>
      </c>
      <c r="F394" t="s">
        <v>16</v>
      </c>
      <c r="G394" t="s">
        <v>341</v>
      </c>
      <c r="H394" s="1">
        <v>46204</v>
      </c>
      <c r="I394">
        <v>54</v>
      </c>
      <c r="J394" s="1" t="s">
        <v>539</v>
      </c>
      <c r="K394" t="str">
        <f t="shared" si="6"/>
        <v>Non-Expired</v>
      </c>
    </row>
    <row r="395" spans="1:11" x14ac:dyDescent="0.3">
      <c r="A395" s="3" t="s">
        <v>488</v>
      </c>
      <c r="B395" t="s">
        <v>80</v>
      </c>
      <c r="C395" t="s">
        <v>10</v>
      </c>
      <c r="D395">
        <v>8</v>
      </c>
      <c r="E395" t="s">
        <v>20</v>
      </c>
      <c r="F395" t="s">
        <v>21</v>
      </c>
      <c r="G395" t="s">
        <v>208</v>
      </c>
      <c r="H395" s="1">
        <v>46023</v>
      </c>
      <c r="I395">
        <v>64</v>
      </c>
      <c r="J395" s="1" t="s">
        <v>539</v>
      </c>
      <c r="K395" t="str">
        <f t="shared" si="6"/>
        <v>Non-Expired</v>
      </c>
    </row>
    <row r="396" spans="1:11" x14ac:dyDescent="0.3">
      <c r="A396" s="3" t="s">
        <v>488</v>
      </c>
      <c r="B396" t="s">
        <v>39</v>
      </c>
      <c r="C396" t="s">
        <v>162</v>
      </c>
      <c r="D396">
        <v>18</v>
      </c>
      <c r="E396" t="s">
        <v>25</v>
      </c>
      <c r="F396" t="s">
        <v>26</v>
      </c>
      <c r="G396" t="s">
        <v>342</v>
      </c>
      <c r="H396" s="1">
        <v>46235</v>
      </c>
      <c r="I396">
        <v>54</v>
      </c>
      <c r="J396" s="1" t="s">
        <v>539</v>
      </c>
      <c r="K396" t="str">
        <f t="shared" si="6"/>
        <v>Non-Expired</v>
      </c>
    </row>
    <row r="397" spans="1:11" x14ac:dyDescent="0.3">
      <c r="A397" s="3" t="s">
        <v>488</v>
      </c>
      <c r="B397" t="s">
        <v>80</v>
      </c>
      <c r="C397" t="s">
        <v>214</v>
      </c>
      <c r="D397">
        <v>14</v>
      </c>
      <c r="E397" t="s">
        <v>28</v>
      </c>
      <c r="F397" t="s">
        <v>29</v>
      </c>
      <c r="G397" t="s">
        <v>343</v>
      </c>
      <c r="H397" s="1">
        <v>46054</v>
      </c>
      <c r="I397">
        <v>56</v>
      </c>
      <c r="J397" s="1" t="s">
        <v>539</v>
      </c>
      <c r="K397" t="str">
        <f t="shared" si="6"/>
        <v>Non-Expired</v>
      </c>
    </row>
    <row r="398" spans="1:11" x14ac:dyDescent="0.3">
      <c r="A398" s="3" t="s">
        <v>488</v>
      </c>
      <c r="B398" t="s">
        <v>65</v>
      </c>
      <c r="C398" t="s">
        <v>59</v>
      </c>
      <c r="D398">
        <v>9</v>
      </c>
      <c r="E398" t="s">
        <v>33</v>
      </c>
      <c r="F398" t="s">
        <v>34</v>
      </c>
      <c r="G398" t="s">
        <v>298</v>
      </c>
      <c r="H398" s="1">
        <v>46204</v>
      </c>
      <c r="I398">
        <v>45</v>
      </c>
      <c r="J398" s="1" t="s">
        <v>539</v>
      </c>
      <c r="K398" t="str">
        <f t="shared" si="6"/>
        <v>Non-Expired</v>
      </c>
    </row>
    <row r="399" spans="1:11" x14ac:dyDescent="0.3">
      <c r="A399" s="3" t="s">
        <v>488</v>
      </c>
      <c r="B399" t="s">
        <v>92</v>
      </c>
      <c r="C399" t="s">
        <v>14</v>
      </c>
      <c r="D399">
        <v>27</v>
      </c>
      <c r="E399" t="s">
        <v>36</v>
      </c>
      <c r="F399" t="s">
        <v>37</v>
      </c>
      <c r="G399" t="s">
        <v>344</v>
      </c>
      <c r="H399" s="1">
        <v>45323</v>
      </c>
      <c r="I399">
        <v>162</v>
      </c>
      <c r="J399" s="1" t="s">
        <v>539</v>
      </c>
      <c r="K399" t="str">
        <f t="shared" si="6"/>
        <v>Expired</v>
      </c>
    </row>
    <row r="400" spans="1:11" x14ac:dyDescent="0.3">
      <c r="A400" s="3" t="s">
        <v>488</v>
      </c>
      <c r="B400" t="s">
        <v>92</v>
      </c>
      <c r="C400" t="s">
        <v>32</v>
      </c>
      <c r="D400">
        <v>28</v>
      </c>
      <c r="E400" t="s">
        <v>41</v>
      </c>
      <c r="F400" t="s">
        <v>12</v>
      </c>
      <c r="G400" t="s">
        <v>250</v>
      </c>
      <c r="H400" s="1">
        <v>46753</v>
      </c>
      <c r="I400">
        <v>112</v>
      </c>
      <c r="J400" s="1" t="s">
        <v>539</v>
      </c>
      <c r="K400" t="str">
        <f t="shared" si="6"/>
        <v>Non-Expired</v>
      </c>
    </row>
    <row r="401" spans="1:11" x14ac:dyDescent="0.3">
      <c r="A401" s="3" t="s">
        <v>488</v>
      </c>
      <c r="B401" t="s">
        <v>23</v>
      </c>
      <c r="C401" t="s">
        <v>24</v>
      </c>
      <c r="D401">
        <v>22</v>
      </c>
      <c r="E401" t="s">
        <v>45</v>
      </c>
      <c r="F401" t="s">
        <v>16</v>
      </c>
      <c r="G401" t="s">
        <v>227</v>
      </c>
      <c r="H401" s="1">
        <v>46143</v>
      </c>
      <c r="I401">
        <v>220</v>
      </c>
      <c r="J401" s="1" t="s">
        <v>539</v>
      </c>
      <c r="K401" t="str">
        <f t="shared" si="6"/>
        <v>Non-Expired</v>
      </c>
    </row>
    <row r="402" spans="1:11" x14ac:dyDescent="0.3">
      <c r="A402" s="3" t="s">
        <v>489</v>
      </c>
      <c r="B402" t="s">
        <v>65</v>
      </c>
      <c r="C402" t="s">
        <v>107</v>
      </c>
      <c r="D402">
        <v>19</v>
      </c>
      <c r="E402" t="s">
        <v>49</v>
      </c>
      <c r="F402" t="s">
        <v>50</v>
      </c>
      <c r="G402" t="s">
        <v>345</v>
      </c>
      <c r="H402" s="1">
        <v>46569</v>
      </c>
      <c r="I402">
        <v>95</v>
      </c>
      <c r="J402" s="1" t="s">
        <v>539</v>
      </c>
      <c r="K402" t="str">
        <f t="shared" si="6"/>
        <v>Non-Expired</v>
      </c>
    </row>
    <row r="403" spans="1:11" x14ac:dyDescent="0.3">
      <c r="A403" s="3" t="s">
        <v>489</v>
      </c>
      <c r="B403" t="s">
        <v>9</v>
      </c>
      <c r="C403" t="s">
        <v>210</v>
      </c>
      <c r="D403">
        <v>6</v>
      </c>
      <c r="E403" t="s">
        <v>52</v>
      </c>
      <c r="F403" t="s">
        <v>53</v>
      </c>
      <c r="G403" t="s">
        <v>321</v>
      </c>
      <c r="H403" s="1">
        <v>46296</v>
      </c>
      <c r="I403">
        <v>12</v>
      </c>
      <c r="J403" s="1" t="s">
        <v>539</v>
      </c>
      <c r="K403" t="str">
        <f t="shared" si="6"/>
        <v>Non-Expired</v>
      </c>
    </row>
    <row r="404" spans="1:11" x14ac:dyDescent="0.3">
      <c r="A404" s="3" t="s">
        <v>489</v>
      </c>
      <c r="B404" t="s">
        <v>9</v>
      </c>
      <c r="C404" t="s">
        <v>210</v>
      </c>
      <c r="D404">
        <v>11</v>
      </c>
      <c r="E404" t="s">
        <v>56</v>
      </c>
      <c r="F404" t="s">
        <v>53</v>
      </c>
      <c r="G404" t="s">
        <v>138</v>
      </c>
      <c r="H404" s="1">
        <v>46296</v>
      </c>
      <c r="I404">
        <v>110</v>
      </c>
      <c r="J404" s="1" t="s">
        <v>539</v>
      </c>
      <c r="K404" t="str">
        <f t="shared" si="6"/>
        <v>Non-Expired</v>
      </c>
    </row>
    <row r="405" spans="1:11" x14ac:dyDescent="0.3">
      <c r="A405" s="3" t="s">
        <v>489</v>
      </c>
      <c r="B405" t="s">
        <v>39</v>
      </c>
      <c r="C405" t="s">
        <v>103</v>
      </c>
      <c r="D405">
        <v>4</v>
      </c>
      <c r="E405" t="s">
        <v>60</v>
      </c>
      <c r="F405" t="s">
        <v>61</v>
      </c>
      <c r="G405" t="s">
        <v>346</v>
      </c>
      <c r="H405" s="1">
        <v>46661</v>
      </c>
      <c r="I405">
        <v>480</v>
      </c>
      <c r="J405" s="1" t="s">
        <v>539</v>
      </c>
      <c r="K405" t="str">
        <f t="shared" si="6"/>
        <v>Non-Expired</v>
      </c>
    </row>
    <row r="406" spans="1:11" x14ac:dyDescent="0.3">
      <c r="A406" s="3" t="s">
        <v>489</v>
      </c>
      <c r="B406" t="s">
        <v>9</v>
      </c>
      <c r="C406" t="s">
        <v>74</v>
      </c>
      <c r="D406">
        <v>6</v>
      </c>
      <c r="E406" t="s">
        <v>63</v>
      </c>
      <c r="F406" t="s">
        <v>50</v>
      </c>
      <c r="G406" t="s">
        <v>293</v>
      </c>
      <c r="H406" s="1">
        <v>46296</v>
      </c>
      <c r="I406">
        <v>120</v>
      </c>
      <c r="J406" s="1" t="s">
        <v>539</v>
      </c>
      <c r="K406" t="str">
        <f t="shared" si="6"/>
        <v>Non-Expired</v>
      </c>
    </row>
    <row r="407" spans="1:11" x14ac:dyDescent="0.3">
      <c r="A407" s="3" t="s">
        <v>489</v>
      </c>
      <c r="B407" t="s">
        <v>39</v>
      </c>
      <c r="C407" t="s">
        <v>88</v>
      </c>
      <c r="D407">
        <v>18</v>
      </c>
      <c r="E407" t="s">
        <v>67</v>
      </c>
      <c r="F407" t="s">
        <v>68</v>
      </c>
      <c r="G407" t="s">
        <v>175</v>
      </c>
      <c r="H407" s="1">
        <v>45383</v>
      </c>
      <c r="I407">
        <v>540</v>
      </c>
      <c r="J407" s="1" t="s">
        <v>539</v>
      </c>
      <c r="K407" t="str">
        <f t="shared" si="6"/>
        <v>Expired</v>
      </c>
    </row>
    <row r="408" spans="1:11" x14ac:dyDescent="0.3">
      <c r="A408" s="3" t="s">
        <v>489</v>
      </c>
      <c r="B408" t="s">
        <v>65</v>
      </c>
      <c r="C408" t="s">
        <v>139</v>
      </c>
      <c r="D408">
        <v>26</v>
      </c>
      <c r="E408" t="s">
        <v>71</v>
      </c>
      <c r="F408" t="s">
        <v>72</v>
      </c>
      <c r="G408" t="s">
        <v>347</v>
      </c>
      <c r="H408" s="1">
        <v>46235</v>
      </c>
      <c r="I408">
        <v>1040</v>
      </c>
      <c r="J408" s="1" t="s">
        <v>539</v>
      </c>
      <c r="K408" t="str">
        <f t="shared" si="6"/>
        <v>Non-Expired</v>
      </c>
    </row>
    <row r="409" spans="1:11" x14ac:dyDescent="0.3">
      <c r="A409" s="3" t="s">
        <v>489</v>
      </c>
      <c r="B409" t="s">
        <v>31</v>
      </c>
      <c r="C409" t="s">
        <v>19</v>
      </c>
      <c r="D409">
        <v>6</v>
      </c>
      <c r="E409" t="s">
        <v>75</v>
      </c>
      <c r="F409" t="s">
        <v>16</v>
      </c>
      <c r="G409" t="s">
        <v>348</v>
      </c>
      <c r="H409" s="1">
        <v>46296</v>
      </c>
      <c r="I409">
        <v>300</v>
      </c>
      <c r="J409" s="1" t="s">
        <v>539</v>
      </c>
      <c r="K409" t="str">
        <f t="shared" si="6"/>
        <v>Non-Expired</v>
      </c>
    </row>
    <row r="410" spans="1:11" x14ac:dyDescent="0.3">
      <c r="A410" s="3" t="s">
        <v>490</v>
      </c>
      <c r="B410" t="s">
        <v>47</v>
      </c>
      <c r="C410" t="s">
        <v>14</v>
      </c>
      <c r="D410">
        <v>5</v>
      </c>
      <c r="E410" t="s">
        <v>11</v>
      </c>
      <c r="F410" t="s">
        <v>12</v>
      </c>
      <c r="G410" t="s">
        <v>263</v>
      </c>
      <c r="H410" s="1">
        <v>46508</v>
      </c>
      <c r="I410">
        <v>10</v>
      </c>
      <c r="J410" s="1" t="s">
        <v>539</v>
      </c>
      <c r="K410" t="str">
        <f t="shared" si="6"/>
        <v>Non-Expired</v>
      </c>
    </row>
    <row r="411" spans="1:11" x14ac:dyDescent="0.3">
      <c r="A411" s="3" t="s">
        <v>490</v>
      </c>
      <c r="B411" t="s">
        <v>80</v>
      </c>
      <c r="C411" t="s">
        <v>128</v>
      </c>
      <c r="D411">
        <v>18</v>
      </c>
      <c r="E411" t="s">
        <v>15</v>
      </c>
      <c r="F411" t="s">
        <v>16</v>
      </c>
      <c r="G411" t="s">
        <v>222</v>
      </c>
      <c r="H411" s="1">
        <v>46327</v>
      </c>
      <c r="I411">
        <v>54</v>
      </c>
      <c r="J411" s="1" t="s">
        <v>539</v>
      </c>
      <c r="K411" t="str">
        <f t="shared" si="6"/>
        <v>Non-Expired</v>
      </c>
    </row>
    <row r="412" spans="1:11" x14ac:dyDescent="0.3">
      <c r="A412" s="3" t="s">
        <v>490</v>
      </c>
      <c r="B412" t="s">
        <v>65</v>
      </c>
      <c r="C412" t="s">
        <v>55</v>
      </c>
      <c r="D412">
        <v>16</v>
      </c>
      <c r="E412" t="s">
        <v>20</v>
      </c>
      <c r="F412" t="s">
        <v>21</v>
      </c>
      <c r="G412" t="s">
        <v>245</v>
      </c>
      <c r="H412" s="1">
        <v>46357</v>
      </c>
      <c r="I412">
        <v>128</v>
      </c>
      <c r="J412" s="1" t="s">
        <v>539</v>
      </c>
      <c r="K412" t="str">
        <f t="shared" si="6"/>
        <v>Non-Expired</v>
      </c>
    </row>
    <row r="413" spans="1:11" x14ac:dyDescent="0.3">
      <c r="A413" s="3" t="s">
        <v>490</v>
      </c>
      <c r="B413" t="s">
        <v>47</v>
      </c>
      <c r="C413" t="s">
        <v>149</v>
      </c>
      <c r="D413">
        <v>9</v>
      </c>
      <c r="E413" t="s">
        <v>25</v>
      </c>
      <c r="F413" t="s">
        <v>26</v>
      </c>
      <c r="G413" t="s">
        <v>349</v>
      </c>
      <c r="H413" s="1">
        <v>46784</v>
      </c>
      <c r="I413">
        <v>27</v>
      </c>
      <c r="J413" s="1" t="s">
        <v>539</v>
      </c>
      <c r="K413" t="str">
        <f t="shared" si="6"/>
        <v>Non-Expired</v>
      </c>
    </row>
    <row r="414" spans="1:11" x14ac:dyDescent="0.3">
      <c r="A414" s="3" t="s">
        <v>490</v>
      </c>
      <c r="B414" t="s">
        <v>9</v>
      </c>
      <c r="C414" t="s">
        <v>128</v>
      </c>
      <c r="D414">
        <v>13</v>
      </c>
      <c r="E414" t="s">
        <v>28</v>
      </c>
      <c r="F414" t="s">
        <v>29</v>
      </c>
      <c r="G414" t="s">
        <v>324</v>
      </c>
      <c r="H414" s="1">
        <v>46508</v>
      </c>
      <c r="I414">
        <v>52</v>
      </c>
      <c r="J414" s="1" t="s">
        <v>539</v>
      </c>
      <c r="K414" t="str">
        <f t="shared" si="6"/>
        <v>Non-Expired</v>
      </c>
    </row>
    <row r="415" spans="1:11" x14ac:dyDescent="0.3">
      <c r="A415" s="3" t="s">
        <v>490</v>
      </c>
      <c r="B415" t="s">
        <v>92</v>
      </c>
      <c r="C415" t="s">
        <v>78</v>
      </c>
      <c r="D415">
        <v>9</v>
      </c>
      <c r="E415" t="s">
        <v>33</v>
      </c>
      <c r="F415" t="s">
        <v>34</v>
      </c>
      <c r="G415" t="s">
        <v>248</v>
      </c>
      <c r="H415" s="1">
        <v>46722</v>
      </c>
      <c r="I415">
        <v>45</v>
      </c>
      <c r="J415" s="1" t="s">
        <v>539</v>
      </c>
      <c r="K415" t="str">
        <f t="shared" si="6"/>
        <v>Non-Expired</v>
      </c>
    </row>
    <row r="416" spans="1:11" x14ac:dyDescent="0.3">
      <c r="A416" s="3" t="s">
        <v>490</v>
      </c>
      <c r="B416" t="s">
        <v>23</v>
      </c>
      <c r="C416" t="s">
        <v>83</v>
      </c>
      <c r="D416">
        <v>11</v>
      </c>
      <c r="E416" t="s">
        <v>36</v>
      </c>
      <c r="F416" t="s">
        <v>37</v>
      </c>
      <c r="G416" t="s">
        <v>344</v>
      </c>
      <c r="H416" s="1">
        <v>46569</v>
      </c>
      <c r="I416">
        <v>66</v>
      </c>
      <c r="J416" s="1" t="s">
        <v>539</v>
      </c>
      <c r="K416" t="str">
        <f t="shared" si="6"/>
        <v>Non-Expired</v>
      </c>
    </row>
    <row r="417" spans="1:11" x14ac:dyDescent="0.3">
      <c r="A417" s="3" t="s">
        <v>490</v>
      </c>
      <c r="B417" t="s">
        <v>18</v>
      </c>
      <c r="C417" t="s">
        <v>32</v>
      </c>
      <c r="D417">
        <v>13</v>
      </c>
      <c r="E417" t="s">
        <v>41</v>
      </c>
      <c r="F417" t="s">
        <v>12</v>
      </c>
      <c r="G417" t="s">
        <v>152</v>
      </c>
      <c r="H417" s="1">
        <v>46722</v>
      </c>
      <c r="I417">
        <v>52</v>
      </c>
      <c r="J417" s="1" t="s">
        <v>539</v>
      </c>
      <c r="K417" t="str">
        <f t="shared" si="6"/>
        <v>Non-Expired</v>
      </c>
    </row>
    <row r="418" spans="1:11" x14ac:dyDescent="0.3">
      <c r="A418" s="3" t="s">
        <v>491</v>
      </c>
      <c r="B418" t="s">
        <v>80</v>
      </c>
      <c r="C418" t="s">
        <v>10</v>
      </c>
      <c r="D418">
        <v>21</v>
      </c>
      <c r="E418" t="s">
        <v>45</v>
      </c>
      <c r="F418" t="s">
        <v>16</v>
      </c>
      <c r="G418" t="s">
        <v>168</v>
      </c>
      <c r="H418" s="1">
        <v>46266</v>
      </c>
      <c r="I418">
        <v>210</v>
      </c>
      <c r="J418" s="1" t="s">
        <v>539</v>
      </c>
      <c r="K418" t="str">
        <f t="shared" si="6"/>
        <v>Non-Expired</v>
      </c>
    </row>
    <row r="419" spans="1:11" x14ac:dyDescent="0.3">
      <c r="A419" s="3" t="s">
        <v>491</v>
      </c>
      <c r="B419" t="s">
        <v>43</v>
      </c>
      <c r="C419" t="s">
        <v>78</v>
      </c>
      <c r="D419">
        <v>20</v>
      </c>
      <c r="E419" t="s">
        <v>49</v>
      </c>
      <c r="F419" t="s">
        <v>50</v>
      </c>
      <c r="G419" t="s">
        <v>115</v>
      </c>
      <c r="H419" s="1">
        <v>46296</v>
      </c>
      <c r="I419">
        <v>100</v>
      </c>
      <c r="J419" s="1" t="s">
        <v>539</v>
      </c>
      <c r="K419" t="str">
        <f t="shared" si="6"/>
        <v>Non-Expired</v>
      </c>
    </row>
    <row r="420" spans="1:11" x14ac:dyDescent="0.3">
      <c r="A420" s="3" t="s">
        <v>491</v>
      </c>
      <c r="B420" t="s">
        <v>9</v>
      </c>
      <c r="C420" t="s">
        <v>125</v>
      </c>
      <c r="D420">
        <v>19</v>
      </c>
      <c r="E420" t="s">
        <v>52</v>
      </c>
      <c r="F420" t="s">
        <v>53</v>
      </c>
      <c r="G420" t="s">
        <v>350</v>
      </c>
      <c r="H420" s="1">
        <v>45444</v>
      </c>
      <c r="I420">
        <v>38</v>
      </c>
      <c r="J420" s="1" t="s">
        <v>539</v>
      </c>
      <c r="K420" t="str">
        <f t="shared" si="6"/>
        <v>Expired</v>
      </c>
    </row>
    <row r="421" spans="1:11" x14ac:dyDescent="0.3">
      <c r="A421" s="3" t="s">
        <v>491</v>
      </c>
      <c r="B421" t="s">
        <v>23</v>
      </c>
      <c r="C421" t="s">
        <v>149</v>
      </c>
      <c r="D421">
        <v>29</v>
      </c>
      <c r="E421" t="s">
        <v>56</v>
      </c>
      <c r="F421" t="s">
        <v>53</v>
      </c>
      <c r="G421" t="s">
        <v>187</v>
      </c>
      <c r="H421" s="1">
        <v>46419</v>
      </c>
      <c r="I421">
        <v>290</v>
      </c>
      <c r="J421" s="1" t="s">
        <v>539</v>
      </c>
      <c r="K421" t="str">
        <f t="shared" si="6"/>
        <v>Non-Expired</v>
      </c>
    </row>
    <row r="422" spans="1:11" x14ac:dyDescent="0.3">
      <c r="A422" s="3" t="s">
        <v>491</v>
      </c>
      <c r="B422" t="s">
        <v>9</v>
      </c>
      <c r="C422" t="s">
        <v>32</v>
      </c>
      <c r="D422">
        <v>2</v>
      </c>
      <c r="E422" t="s">
        <v>60</v>
      </c>
      <c r="F422" t="s">
        <v>61</v>
      </c>
      <c r="G422" t="s">
        <v>302</v>
      </c>
      <c r="H422" s="1">
        <v>46082</v>
      </c>
      <c r="I422">
        <v>240</v>
      </c>
      <c r="J422" s="1" t="s">
        <v>539</v>
      </c>
      <c r="K422" t="str">
        <f t="shared" si="6"/>
        <v>Non-Expired</v>
      </c>
    </row>
    <row r="423" spans="1:11" x14ac:dyDescent="0.3">
      <c r="A423" s="3" t="s">
        <v>491</v>
      </c>
      <c r="B423" t="s">
        <v>65</v>
      </c>
      <c r="C423" t="s">
        <v>128</v>
      </c>
      <c r="D423">
        <v>20</v>
      </c>
      <c r="E423" t="s">
        <v>63</v>
      </c>
      <c r="F423" t="s">
        <v>50</v>
      </c>
      <c r="G423" t="s">
        <v>284</v>
      </c>
      <c r="H423" s="1">
        <v>46753</v>
      </c>
      <c r="I423">
        <v>400</v>
      </c>
      <c r="J423" s="1" t="s">
        <v>539</v>
      </c>
      <c r="K423" t="str">
        <f t="shared" si="6"/>
        <v>Non-Expired</v>
      </c>
    </row>
    <row r="424" spans="1:11" x14ac:dyDescent="0.3">
      <c r="A424" s="3" t="s">
        <v>491</v>
      </c>
      <c r="B424" t="s">
        <v>65</v>
      </c>
      <c r="C424" t="s">
        <v>131</v>
      </c>
      <c r="D424">
        <v>19</v>
      </c>
      <c r="E424" t="s">
        <v>67</v>
      </c>
      <c r="F424" t="s">
        <v>68</v>
      </c>
      <c r="G424" t="s">
        <v>351</v>
      </c>
      <c r="H424" s="1">
        <v>46661</v>
      </c>
      <c r="I424">
        <v>570</v>
      </c>
      <c r="J424" s="1" t="s">
        <v>539</v>
      </c>
      <c r="K424" t="str">
        <f t="shared" si="6"/>
        <v>Non-Expired</v>
      </c>
    </row>
    <row r="425" spans="1:11" x14ac:dyDescent="0.3">
      <c r="A425" s="3" t="s">
        <v>491</v>
      </c>
      <c r="B425" t="s">
        <v>80</v>
      </c>
      <c r="C425" t="s">
        <v>48</v>
      </c>
      <c r="D425">
        <v>18</v>
      </c>
      <c r="E425" t="s">
        <v>71</v>
      </c>
      <c r="F425" t="s">
        <v>72</v>
      </c>
      <c r="G425" t="s">
        <v>340</v>
      </c>
      <c r="H425" s="1">
        <v>45689</v>
      </c>
      <c r="I425">
        <v>720</v>
      </c>
      <c r="J425" s="1" t="s">
        <v>539</v>
      </c>
      <c r="K425" t="str">
        <f t="shared" si="6"/>
        <v>Expired</v>
      </c>
    </row>
    <row r="426" spans="1:11" x14ac:dyDescent="0.3">
      <c r="A426" s="3" t="s">
        <v>492</v>
      </c>
      <c r="B426" t="s">
        <v>43</v>
      </c>
      <c r="C426" t="s">
        <v>83</v>
      </c>
      <c r="D426">
        <v>22</v>
      </c>
      <c r="E426" t="s">
        <v>75</v>
      </c>
      <c r="F426" t="s">
        <v>16</v>
      </c>
      <c r="G426" t="s">
        <v>352</v>
      </c>
      <c r="H426" s="1">
        <v>46143</v>
      </c>
      <c r="I426">
        <v>1100</v>
      </c>
      <c r="J426" s="1" t="s">
        <v>539</v>
      </c>
      <c r="K426" t="str">
        <f t="shared" si="6"/>
        <v>Non-Expired</v>
      </c>
    </row>
    <row r="427" spans="1:11" x14ac:dyDescent="0.3">
      <c r="A427" s="3" t="s">
        <v>492</v>
      </c>
      <c r="B427" t="s">
        <v>23</v>
      </c>
      <c r="C427" t="s">
        <v>88</v>
      </c>
      <c r="D427">
        <v>22</v>
      </c>
      <c r="E427" t="s">
        <v>11</v>
      </c>
      <c r="F427" t="s">
        <v>12</v>
      </c>
      <c r="G427" t="s">
        <v>294</v>
      </c>
      <c r="H427" s="1">
        <v>46447</v>
      </c>
      <c r="I427">
        <v>44</v>
      </c>
      <c r="J427" s="1" t="s">
        <v>539</v>
      </c>
      <c r="K427" t="str">
        <f t="shared" si="6"/>
        <v>Non-Expired</v>
      </c>
    </row>
    <row r="428" spans="1:11" x14ac:dyDescent="0.3">
      <c r="A428" s="3" t="s">
        <v>492</v>
      </c>
      <c r="B428" t="s">
        <v>58</v>
      </c>
      <c r="C428" t="s">
        <v>210</v>
      </c>
      <c r="D428">
        <v>29</v>
      </c>
      <c r="E428" t="s">
        <v>15</v>
      </c>
      <c r="F428" t="s">
        <v>16</v>
      </c>
      <c r="G428" t="s">
        <v>353</v>
      </c>
      <c r="H428" s="1">
        <v>46357</v>
      </c>
      <c r="I428">
        <v>87</v>
      </c>
      <c r="J428" s="1" t="s">
        <v>539</v>
      </c>
      <c r="K428" t="str">
        <f t="shared" si="6"/>
        <v>Non-Expired</v>
      </c>
    </row>
    <row r="429" spans="1:11" x14ac:dyDescent="0.3">
      <c r="A429" s="3" t="s">
        <v>492</v>
      </c>
      <c r="B429" t="s">
        <v>47</v>
      </c>
      <c r="C429" t="s">
        <v>44</v>
      </c>
      <c r="D429">
        <v>24</v>
      </c>
      <c r="E429" t="s">
        <v>20</v>
      </c>
      <c r="F429" t="s">
        <v>21</v>
      </c>
      <c r="G429" t="s">
        <v>258</v>
      </c>
      <c r="H429" s="1">
        <v>45200</v>
      </c>
      <c r="I429">
        <v>192</v>
      </c>
      <c r="J429" s="1" t="s">
        <v>539</v>
      </c>
      <c r="K429" t="str">
        <f t="shared" si="6"/>
        <v>Expired</v>
      </c>
    </row>
    <row r="430" spans="1:11" x14ac:dyDescent="0.3">
      <c r="A430" s="3" t="s">
        <v>492</v>
      </c>
      <c r="B430" t="s">
        <v>92</v>
      </c>
      <c r="C430" t="s">
        <v>10</v>
      </c>
      <c r="D430">
        <v>13</v>
      </c>
      <c r="E430" t="s">
        <v>25</v>
      </c>
      <c r="F430" t="s">
        <v>26</v>
      </c>
      <c r="G430" t="s">
        <v>82</v>
      </c>
      <c r="H430" s="1">
        <v>46174</v>
      </c>
      <c r="I430">
        <v>39</v>
      </c>
      <c r="J430" s="1" t="s">
        <v>539</v>
      </c>
      <c r="K430" t="str">
        <f t="shared" si="6"/>
        <v>Non-Expired</v>
      </c>
    </row>
    <row r="431" spans="1:11" x14ac:dyDescent="0.3">
      <c r="A431" s="3" t="s">
        <v>492</v>
      </c>
      <c r="B431" t="s">
        <v>9</v>
      </c>
      <c r="C431" t="s">
        <v>40</v>
      </c>
      <c r="D431">
        <v>25</v>
      </c>
      <c r="E431" t="s">
        <v>28</v>
      </c>
      <c r="F431" t="s">
        <v>29</v>
      </c>
      <c r="G431" t="s">
        <v>354</v>
      </c>
      <c r="H431" s="1">
        <v>46113</v>
      </c>
      <c r="I431">
        <v>100</v>
      </c>
      <c r="J431" s="1" t="s">
        <v>539</v>
      </c>
      <c r="K431" t="str">
        <f t="shared" si="6"/>
        <v>Non-Expired</v>
      </c>
    </row>
    <row r="432" spans="1:11" x14ac:dyDescent="0.3">
      <c r="A432" s="3" t="s">
        <v>492</v>
      </c>
      <c r="B432" t="s">
        <v>9</v>
      </c>
      <c r="C432" t="s">
        <v>10</v>
      </c>
      <c r="D432">
        <v>8</v>
      </c>
      <c r="E432" t="s">
        <v>33</v>
      </c>
      <c r="F432" t="s">
        <v>34</v>
      </c>
      <c r="G432" t="s">
        <v>111</v>
      </c>
      <c r="H432" s="1">
        <v>46722</v>
      </c>
      <c r="I432">
        <v>40</v>
      </c>
      <c r="J432" s="1" t="s">
        <v>539</v>
      </c>
      <c r="K432" t="str">
        <f t="shared" si="6"/>
        <v>Non-Expired</v>
      </c>
    </row>
    <row r="433" spans="1:11" x14ac:dyDescent="0.3">
      <c r="A433" s="3" t="s">
        <v>492</v>
      </c>
      <c r="B433" t="s">
        <v>9</v>
      </c>
      <c r="C433" t="s">
        <v>59</v>
      </c>
      <c r="D433">
        <v>22</v>
      </c>
      <c r="E433" t="s">
        <v>36</v>
      </c>
      <c r="F433" t="s">
        <v>37</v>
      </c>
      <c r="G433" t="s">
        <v>270</v>
      </c>
      <c r="H433" s="1">
        <v>46357</v>
      </c>
      <c r="I433">
        <v>132</v>
      </c>
      <c r="J433" s="1" t="s">
        <v>539</v>
      </c>
      <c r="K433" t="str">
        <f t="shared" si="6"/>
        <v>Non-Expired</v>
      </c>
    </row>
    <row r="434" spans="1:11" x14ac:dyDescent="0.3">
      <c r="A434" s="3" t="s">
        <v>493</v>
      </c>
      <c r="B434" t="s">
        <v>39</v>
      </c>
      <c r="C434" t="s">
        <v>32</v>
      </c>
      <c r="D434">
        <v>20</v>
      </c>
      <c r="E434" t="s">
        <v>41</v>
      </c>
      <c r="F434" t="s">
        <v>12</v>
      </c>
      <c r="G434" t="s">
        <v>355</v>
      </c>
      <c r="H434" s="1">
        <v>46296</v>
      </c>
      <c r="I434">
        <v>80</v>
      </c>
      <c r="J434" s="1" t="s">
        <v>539</v>
      </c>
      <c r="K434" t="str">
        <f t="shared" si="6"/>
        <v>Non-Expired</v>
      </c>
    </row>
    <row r="435" spans="1:11" x14ac:dyDescent="0.3">
      <c r="A435" s="3" t="s">
        <v>493</v>
      </c>
      <c r="B435" t="s">
        <v>43</v>
      </c>
      <c r="C435" t="s">
        <v>48</v>
      </c>
      <c r="D435">
        <v>30</v>
      </c>
      <c r="E435" t="s">
        <v>45</v>
      </c>
      <c r="F435" t="s">
        <v>16</v>
      </c>
      <c r="G435" t="s">
        <v>356</v>
      </c>
      <c r="H435" s="1">
        <v>45597</v>
      </c>
      <c r="I435">
        <v>300</v>
      </c>
      <c r="J435" s="1" t="s">
        <v>539</v>
      </c>
      <c r="K435" t="str">
        <f t="shared" si="6"/>
        <v>Expired</v>
      </c>
    </row>
    <row r="436" spans="1:11" x14ac:dyDescent="0.3">
      <c r="A436" s="3" t="s">
        <v>493</v>
      </c>
      <c r="B436" t="s">
        <v>9</v>
      </c>
      <c r="C436" t="s">
        <v>78</v>
      </c>
      <c r="D436">
        <v>15</v>
      </c>
      <c r="E436" t="s">
        <v>49</v>
      </c>
      <c r="F436" t="s">
        <v>50</v>
      </c>
      <c r="G436" t="s">
        <v>228</v>
      </c>
      <c r="H436" s="1">
        <v>46327</v>
      </c>
      <c r="I436">
        <v>75</v>
      </c>
      <c r="J436" s="1" t="s">
        <v>539</v>
      </c>
      <c r="K436" t="str">
        <f t="shared" si="6"/>
        <v>Non-Expired</v>
      </c>
    </row>
    <row r="437" spans="1:11" x14ac:dyDescent="0.3">
      <c r="A437" s="3" t="s">
        <v>493</v>
      </c>
      <c r="B437" t="s">
        <v>97</v>
      </c>
      <c r="C437" t="s">
        <v>162</v>
      </c>
      <c r="D437">
        <v>11</v>
      </c>
      <c r="E437" t="s">
        <v>52</v>
      </c>
      <c r="F437" t="s">
        <v>53</v>
      </c>
      <c r="G437" t="s">
        <v>199</v>
      </c>
      <c r="H437" s="1">
        <v>46722</v>
      </c>
      <c r="I437">
        <v>22</v>
      </c>
      <c r="J437" s="1" t="s">
        <v>539</v>
      </c>
      <c r="K437" t="str">
        <f t="shared" si="6"/>
        <v>Non-Expired</v>
      </c>
    </row>
    <row r="438" spans="1:11" x14ac:dyDescent="0.3">
      <c r="A438" s="3" t="s">
        <v>493</v>
      </c>
      <c r="B438" t="s">
        <v>9</v>
      </c>
      <c r="C438" t="s">
        <v>162</v>
      </c>
      <c r="D438">
        <v>2</v>
      </c>
      <c r="E438" t="s">
        <v>56</v>
      </c>
      <c r="F438" t="s">
        <v>53</v>
      </c>
      <c r="G438" t="s">
        <v>229</v>
      </c>
      <c r="H438" s="1">
        <v>46661</v>
      </c>
      <c r="I438">
        <v>20</v>
      </c>
      <c r="J438" s="1" t="s">
        <v>539</v>
      </c>
      <c r="K438" t="str">
        <f t="shared" si="6"/>
        <v>Non-Expired</v>
      </c>
    </row>
    <row r="439" spans="1:11" x14ac:dyDescent="0.3">
      <c r="A439" s="3" t="s">
        <v>493</v>
      </c>
      <c r="B439" t="s">
        <v>31</v>
      </c>
      <c r="C439" t="s">
        <v>10</v>
      </c>
      <c r="D439">
        <v>20</v>
      </c>
      <c r="E439" t="s">
        <v>60</v>
      </c>
      <c r="F439" t="s">
        <v>61</v>
      </c>
      <c r="G439" t="s">
        <v>357</v>
      </c>
      <c r="H439" s="1">
        <v>46388</v>
      </c>
      <c r="I439">
        <v>2400</v>
      </c>
      <c r="J439" s="1" t="s">
        <v>539</v>
      </c>
      <c r="K439" t="str">
        <f t="shared" si="6"/>
        <v>Non-Expired</v>
      </c>
    </row>
    <row r="440" spans="1:11" x14ac:dyDescent="0.3">
      <c r="A440" s="3" t="s">
        <v>493</v>
      </c>
      <c r="B440" t="s">
        <v>92</v>
      </c>
      <c r="C440" t="s">
        <v>24</v>
      </c>
      <c r="D440">
        <v>23</v>
      </c>
      <c r="E440" t="s">
        <v>63</v>
      </c>
      <c r="F440" t="s">
        <v>50</v>
      </c>
      <c r="G440" t="s">
        <v>189</v>
      </c>
      <c r="H440" s="1">
        <v>46692</v>
      </c>
      <c r="I440">
        <v>460</v>
      </c>
      <c r="J440" s="1" t="s">
        <v>539</v>
      </c>
      <c r="K440" t="str">
        <f t="shared" si="6"/>
        <v>Non-Expired</v>
      </c>
    </row>
    <row r="441" spans="1:11" x14ac:dyDescent="0.3">
      <c r="A441" s="3" t="s">
        <v>493</v>
      </c>
      <c r="B441" t="s">
        <v>92</v>
      </c>
      <c r="C441" t="s">
        <v>88</v>
      </c>
      <c r="D441">
        <v>3</v>
      </c>
      <c r="E441" t="s">
        <v>67</v>
      </c>
      <c r="F441" t="s">
        <v>68</v>
      </c>
      <c r="G441" t="s">
        <v>254</v>
      </c>
      <c r="H441" s="1">
        <v>46661</v>
      </c>
      <c r="I441">
        <v>90</v>
      </c>
      <c r="J441" s="1" t="s">
        <v>539</v>
      </c>
      <c r="K441" t="str">
        <f t="shared" si="6"/>
        <v>Non-Expired</v>
      </c>
    </row>
    <row r="442" spans="1:11" x14ac:dyDescent="0.3">
      <c r="A442" s="3" t="s">
        <v>494</v>
      </c>
      <c r="B442" t="s">
        <v>80</v>
      </c>
      <c r="C442" t="s">
        <v>214</v>
      </c>
      <c r="D442">
        <v>30</v>
      </c>
      <c r="E442" t="s">
        <v>71</v>
      </c>
      <c r="F442" t="s">
        <v>72</v>
      </c>
      <c r="G442" t="s">
        <v>340</v>
      </c>
      <c r="H442" s="1">
        <v>46784</v>
      </c>
      <c r="I442">
        <v>1200</v>
      </c>
      <c r="J442" s="1" t="s">
        <v>539</v>
      </c>
      <c r="K442" t="str">
        <f t="shared" si="6"/>
        <v>Non-Expired</v>
      </c>
    </row>
    <row r="443" spans="1:11" x14ac:dyDescent="0.3">
      <c r="A443" s="3" t="s">
        <v>494</v>
      </c>
      <c r="B443" t="s">
        <v>43</v>
      </c>
      <c r="C443" t="s">
        <v>83</v>
      </c>
      <c r="D443">
        <v>21</v>
      </c>
      <c r="E443" t="s">
        <v>75</v>
      </c>
      <c r="F443" t="s">
        <v>16</v>
      </c>
      <c r="G443" t="s">
        <v>358</v>
      </c>
      <c r="H443" s="1">
        <v>45200</v>
      </c>
      <c r="I443">
        <v>1050</v>
      </c>
      <c r="J443" s="1" t="s">
        <v>539</v>
      </c>
      <c r="K443" t="str">
        <f t="shared" si="6"/>
        <v>Expired</v>
      </c>
    </row>
    <row r="444" spans="1:11" x14ac:dyDescent="0.3">
      <c r="A444" s="3" t="s">
        <v>494</v>
      </c>
      <c r="B444" t="s">
        <v>9</v>
      </c>
      <c r="C444" t="s">
        <v>214</v>
      </c>
      <c r="D444">
        <v>3</v>
      </c>
      <c r="E444" t="s">
        <v>11</v>
      </c>
      <c r="F444" t="s">
        <v>12</v>
      </c>
      <c r="G444" t="s">
        <v>359</v>
      </c>
      <c r="H444" s="1">
        <v>46327</v>
      </c>
      <c r="I444">
        <v>6</v>
      </c>
      <c r="J444" s="1" t="s">
        <v>539</v>
      </c>
      <c r="K444" t="str">
        <f t="shared" si="6"/>
        <v>Non-Expired</v>
      </c>
    </row>
    <row r="445" spans="1:11" x14ac:dyDescent="0.3">
      <c r="A445" s="3" t="s">
        <v>494</v>
      </c>
      <c r="B445" t="s">
        <v>23</v>
      </c>
      <c r="C445" t="s">
        <v>112</v>
      </c>
      <c r="D445">
        <v>4</v>
      </c>
      <c r="E445" t="s">
        <v>15</v>
      </c>
      <c r="F445" t="s">
        <v>16</v>
      </c>
      <c r="G445" t="s">
        <v>257</v>
      </c>
      <c r="H445" s="1">
        <v>46082</v>
      </c>
      <c r="I445">
        <v>12</v>
      </c>
      <c r="J445" s="1" t="s">
        <v>539</v>
      </c>
      <c r="K445" t="str">
        <f t="shared" si="6"/>
        <v>Non-Expired</v>
      </c>
    </row>
    <row r="446" spans="1:11" x14ac:dyDescent="0.3">
      <c r="A446" s="3" t="s">
        <v>494</v>
      </c>
      <c r="B446" t="s">
        <v>9</v>
      </c>
      <c r="C446" t="s">
        <v>203</v>
      </c>
      <c r="D446">
        <v>2</v>
      </c>
      <c r="E446" t="s">
        <v>20</v>
      </c>
      <c r="F446" t="s">
        <v>21</v>
      </c>
      <c r="G446" t="s">
        <v>194</v>
      </c>
      <c r="H446" s="1">
        <v>46082</v>
      </c>
      <c r="I446">
        <v>16</v>
      </c>
      <c r="J446" s="1" t="s">
        <v>539</v>
      </c>
      <c r="K446" t="str">
        <f t="shared" si="6"/>
        <v>Non-Expired</v>
      </c>
    </row>
    <row r="447" spans="1:11" x14ac:dyDescent="0.3">
      <c r="A447" s="3" t="s">
        <v>494</v>
      </c>
      <c r="B447" t="s">
        <v>58</v>
      </c>
      <c r="C447" t="s">
        <v>112</v>
      </c>
      <c r="D447">
        <v>5</v>
      </c>
      <c r="E447" t="s">
        <v>25</v>
      </c>
      <c r="F447" t="s">
        <v>26</v>
      </c>
      <c r="G447" t="s">
        <v>360</v>
      </c>
      <c r="H447" s="1">
        <v>46023</v>
      </c>
      <c r="I447">
        <v>15</v>
      </c>
      <c r="J447" s="1" t="s">
        <v>539</v>
      </c>
      <c r="K447" t="str">
        <f t="shared" si="6"/>
        <v>Non-Expired</v>
      </c>
    </row>
    <row r="448" spans="1:11" x14ac:dyDescent="0.3">
      <c r="A448" s="3" t="s">
        <v>494</v>
      </c>
      <c r="B448" t="s">
        <v>23</v>
      </c>
      <c r="C448" t="s">
        <v>180</v>
      </c>
      <c r="D448">
        <v>14</v>
      </c>
      <c r="E448" t="s">
        <v>28</v>
      </c>
      <c r="F448" t="s">
        <v>29</v>
      </c>
      <c r="G448" t="s">
        <v>211</v>
      </c>
      <c r="H448" s="1">
        <v>46722</v>
      </c>
      <c r="I448">
        <v>56</v>
      </c>
      <c r="J448" s="1" t="s">
        <v>539</v>
      </c>
      <c r="K448" t="str">
        <f t="shared" si="6"/>
        <v>Non-Expired</v>
      </c>
    </row>
    <row r="449" spans="1:11" x14ac:dyDescent="0.3">
      <c r="A449" s="3" t="s">
        <v>494</v>
      </c>
      <c r="B449" t="s">
        <v>92</v>
      </c>
      <c r="C449" t="s">
        <v>173</v>
      </c>
      <c r="D449">
        <v>20</v>
      </c>
      <c r="E449" t="s">
        <v>33</v>
      </c>
      <c r="F449" t="s">
        <v>34</v>
      </c>
      <c r="G449" t="s">
        <v>361</v>
      </c>
      <c r="H449" s="1">
        <v>45474</v>
      </c>
      <c r="I449">
        <v>100</v>
      </c>
      <c r="J449" s="1" t="s">
        <v>539</v>
      </c>
      <c r="K449" t="str">
        <f t="shared" si="6"/>
        <v>Expired</v>
      </c>
    </row>
    <row r="450" spans="1:11" x14ac:dyDescent="0.3">
      <c r="A450" s="3" t="s">
        <v>495</v>
      </c>
      <c r="B450" t="s">
        <v>18</v>
      </c>
      <c r="C450" t="s">
        <v>149</v>
      </c>
      <c r="D450">
        <v>21</v>
      </c>
      <c r="E450" t="s">
        <v>36</v>
      </c>
      <c r="F450" t="s">
        <v>37</v>
      </c>
      <c r="G450" t="s">
        <v>362</v>
      </c>
      <c r="H450" s="1">
        <v>46357</v>
      </c>
      <c r="I450">
        <v>126</v>
      </c>
      <c r="J450" s="1" t="s">
        <v>539</v>
      </c>
      <c r="K450" t="str">
        <f t="shared" si="6"/>
        <v>Non-Expired</v>
      </c>
    </row>
    <row r="451" spans="1:11" x14ac:dyDescent="0.3">
      <c r="A451" s="3" t="s">
        <v>495</v>
      </c>
      <c r="B451" t="s">
        <v>97</v>
      </c>
      <c r="C451" t="s">
        <v>131</v>
      </c>
      <c r="D451">
        <v>11</v>
      </c>
      <c r="E451" t="s">
        <v>41</v>
      </c>
      <c r="F451" t="s">
        <v>12</v>
      </c>
      <c r="G451" t="s">
        <v>363</v>
      </c>
      <c r="H451" s="1">
        <v>46539</v>
      </c>
      <c r="I451">
        <v>44</v>
      </c>
      <c r="J451" s="1" t="s">
        <v>539</v>
      </c>
      <c r="K451" t="str">
        <f t="shared" ref="K451:K514" si="7">IF(H451&lt;=DATE(2025,5,5),"Expired","Non-Expired")</f>
        <v>Non-Expired</v>
      </c>
    </row>
    <row r="452" spans="1:11" x14ac:dyDescent="0.3">
      <c r="A452" s="3" t="s">
        <v>495</v>
      </c>
      <c r="B452" t="s">
        <v>9</v>
      </c>
      <c r="C452" t="s">
        <v>125</v>
      </c>
      <c r="D452">
        <v>24</v>
      </c>
      <c r="E452" t="s">
        <v>45</v>
      </c>
      <c r="F452" t="s">
        <v>16</v>
      </c>
      <c r="G452" t="s">
        <v>356</v>
      </c>
      <c r="H452" s="1">
        <v>46631</v>
      </c>
      <c r="I452">
        <v>240</v>
      </c>
      <c r="J452" s="1" t="s">
        <v>539</v>
      </c>
      <c r="K452" t="str">
        <f t="shared" si="7"/>
        <v>Non-Expired</v>
      </c>
    </row>
    <row r="453" spans="1:11" x14ac:dyDescent="0.3">
      <c r="A453" s="3" t="s">
        <v>495</v>
      </c>
      <c r="B453" t="s">
        <v>58</v>
      </c>
      <c r="C453" t="s">
        <v>99</v>
      </c>
      <c r="D453">
        <v>4</v>
      </c>
      <c r="E453" t="s">
        <v>49</v>
      </c>
      <c r="F453" t="s">
        <v>50</v>
      </c>
      <c r="G453" t="s">
        <v>251</v>
      </c>
      <c r="H453" s="1">
        <v>46296</v>
      </c>
      <c r="I453">
        <v>20</v>
      </c>
      <c r="J453" s="1" t="s">
        <v>539</v>
      </c>
      <c r="K453" t="str">
        <f t="shared" si="7"/>
        <v>Non-Expired</v>
      </c>
    </row>
    <row r="454" spans="1:11" x14ac:dyDescent="0.3">
      <c r="A454" s="3" t="s">
        <v>495</v>
      </c>
      <c r="B454" t="s">
        <v>90</v>
      </c>
      <c r="C454" t="s">
        <v>55</v>
      </c>
      <c r="D454">
        <v>7</v>
      </c>
      <c r="E454" t="s">
        <v>52</v>
      </c>
      <c r="F454" t="s">
        <v>53</v>
      </c>
      <c r="G454" t="s">
        <v>364</v>
      </c>
      <c r="H454" s="1">
        <v>46447</v>
      </c>
      <c r="I454">
        <v>14</v>
      </c>
      <c r="J454" s="1" t="s">
        <v>539</v>
      </c>
      <c r="K454" t="str">
        <f t="shared" si="7"/>
        <v>Non-Expired</v>
      </c>
    </row>
    <row r="455" spans="1:11" x14ac:dyDescent="0.3">
      <c r="A455" s="3" t="s">
        <v>495</v>
      </c>
      <c r="B455" t="s">
        <v>58</v>
      </c>
      <c r="C455" t="s">
        <v>154</v>
      </c>
      <c r="D455">
        <v>6</v>
      </c>
      <c r="E455" t="s">
        <v>56</v>
      </c>
      <c r="F455" t="s">
        <v>53</v>
      </c>
      <c r="G455" t="s">
        <v>337</v>
      </c>
      <c r="H455" s="1">
        <v>46447</v>
      </c>
      <c r="I455">
        <v>60</v>
      </c>
      <c r="J455" s="1" t="s">
        <v>539</v>
      </c>
      <c r="K455" t="str">
        <f t="shared" si="7"/>
        <v>Non-Expired</v>
      </c>
    </row>
    <row r="456" spans="1:11" x14ac:dyDescent="0.3">
      <c r="A456" s="3" t="s">
        <v>495</v>
      </c>
      <c r="B456" t="s">
        <v>43</v>
      </c>
      <c r="C456" t="s">
        <v>10</v>
      </c>
      <c r="D456">
        <v>3</v>
      </c>
      <c r="E456" t="s">
        <v>60</v>
      </c>
      <c r="F456" t="s">
        <v>61</v>
      </c>
      <c r="G456" t="s">
        <v>365</v>
      </c>
      <c r="H456" s="1">
        <v>45474</v>
      </c>
      <c r="I456">
        <v>360</v>
      </c>
      <c r="J456" s="1" t="s">
        <v>539</v>
      </c>
      <c r="K456" t="str">
        <f t="shared" si="7"/>
        <v>Expired</v>
      </c>
    </row>
    <row r="457" spans="1:11" x14ac:dyDescent="0.3">
      <c r="A457" s="3" t="s">
        <v>495</v>
      </c>
      <c r="B457" t="s">
        <v>65</v>
      </c>
      <c r="C457" t="s">
        <v>210</v>
      </c>
      <c r="D457">
        <v>16</v>
      </c>
      <c r="E457" t="s">
        <v>63</v>
      </c>
      <c r="F457" t="s">
        <v>50</v>
      </c>
      <c r="G457" t="s">
        <v>189</v>
      </c>
      <c r="H457" s="1">
        <v>46478</v>
      </c>
      <c r="I457">
        <v>320</v>
      </c>
      <c r="J457" s="1" t="s">
        <v>539</v>
      </c>
      <c r="K457" t="str">
        <f t="shared" si="7"/>
        <v>Non-Expired</v>
      </c>
    </row>
    <row r="458" spans="1:11" x14ac:dyDescent="0.3">
      <c r="A458" s="3" t="s">
        <v>496</v>
      </c>
      <c r="B458" t="s">
        <v>58</v>
      </c>
      <c r="C458" t="s">
        <v>210</v>
      </c>
      <c r="D458">
        <v>30</v>
      </c>
      <c r="E458" t="s">
        <v>67</v>
      </c>
      <c r="F458" t="s">
        <v>68</v>
      </c>
      <c r="G458" t="s">
        <v>69</v>
      </c>
      <c r="H458" s="1">
        <v>46447</v>
      </c>
      <c r="I458">
        <v>900</v>
      </c>
      <c r="J458" s="1" t="s">
        <v>539</v>
      </c>
      <c r="K458" t="str">
        <f t="shared" si="7"/>
        <v>Non-Expired</v>
      </c>
    </row>
    <row r="459" spans="1:11" x14ac:dyDescent="0.3">
      <c r="A459" s="3" t="s">
        <v>496</v>
      </c>
      <c r="B459" t="s">
        <v>90</v>
      </c>
      <c r="C459" t="s">
        <v>214</v>
      </c>
      <c r="D459">
        <v>15</v>
      </c>
      <c r="E459" t="s">
        <v>71</v>
      </c>
      <c r="F459" t="s">
        <v>72</v>
      </c>
      <c r="G459" t="s">
        <v>366</v>
      </c>
      <c r="H459" s="1">
        <v>46357</v>
      </c>
      <c r="I459">
        <v>600</v>
      </c>
      <c r="J459" s="1" t="s">
        <v>539</v>
      </c>
      <c r="K459" t="str">
        <f t="shared" si="7"/>
        <v>Non-Expired</v>
      </c>
    </row>
    <row r="460" spans="1:11" x14ac:dyDescent="0.3">
      <c r="A460" s="3" t="s">
        <v>496</v>
      </c>
      <c r="B460" t="s">
        <v>80</v>
      </c>
      <c r="C460" t="s">
        <v>88</v>
      </c>
      <c r="D460">
        <v>27</v>
      </c>
      <c r="E460" t="s">
        <v>75</v>
      </c>
      <c r="F460" t="s">
        <v>16</v>
      </c>
      <c r="G460" t="s">
        <v>367</v>
      </c>
      <c r="H460" s="1">
        <v>46661</v>
      </c>
      <c r="I460">
        <v>1350</v>
      </c>
      <c r="J460" s="1" t="s">
        <v>539</v>
      </c>
      <c r="K460" t="str">
        <f t="shared" si="7"/>
        <v>Non-Expired</v>
      </c>
    </row>
    <row r="461" spans="1:11" x14ac:dyDescent="0.3">
      <c r="A461" s="3" t="s">
        <v>496</v>
      </c>
      <c r="B461" t="s">
        <v>90</v>
      </c>
      <c r="C461" t="s">
        <v>44</v>
      </c>
      <c r="D461">
        <v>10</v>
      </c>
      <c r="E461" t="s">
        <v>11</v>
      </c>
      <c r="F461" t="s">
        <v>12</v>
      </c>
      <c r="G461" t="s">
        <v>368</v>
      </c>
      <c r="H461" s="1">
        <v>46539</v>
      </c>
      <c r="I461">
        <v>20</v>
      </c>
      <c r="J461" s="1" t="s">
        <v>539</v>
      </c>
      <c r="K461" t="str">
        <f t="shared" si="7"/>
        <v>Non-Expired</v>
      </c>
    </row>
    <row r="462" spans="1:11" x14ac:dyDescent="0.3">
      <c r="A462" s="3" t="s">
        <v>496</v>
      </c>
      <c r="B462" t="s">
        <v>90</v>
      </c>
      <c r="C462" t="s">
        <v>14</v>
      </c>
      <c r="D462">
        <v>8</v>
      </c>
      <c r="E462" t="s">
        <v>15</v>
      </c>
      <c r="F462" t="s">
        <v>16</v>
      </c>
      <c r="G462" t="s">
        <v>369</v>
      </c>
      <c r="H462" s="1">
        <v>46235</v>
      </c>
      <c r="I462">
        <v>24</v>
      </c>
      <c r="J462" s="1" t="s">
        <v>539</v>
      </c>
      <c r="K462" t="str">
        <f t="shared" si="7"/>
        <v>Non-Expired</v>
      </c>
    </row>
    <row r="463" spans="1:11" x14ac:dyDescent="0.3">
      <c r="A463" s="3" t="s">
        <v>496</v>
      </c>
      <c r="B463" t="s">
        <v>39</v>
      </c>
      <c r="C463" t="s">
        <v>154</v>
      </c>
      <c r="D463">
        <v>5</v>
      </c>
      <c r="E463" t="s">
        <v>20</v>
      </c>
      <c r="F463" t="s">
        <v>21</v>
      </c>
      <c r="G463" t="s">
        <v>223</v>
      </c>
      <c r="H463" s="1">
        <v>45658</v>
      </c>
      <c r="I463">
        <v>40</v>
      </c>
      <c r="J463" s="1" t="s">
        <v>539</v>
      </c>
      <c r="K463" t="str">
        <f t="shared" si="7"/>
        <v>Expired</v>
      </c>
    </row>
    <row r="464" spans="1:11" x14ac:dyDescent="0.3">
      <c r="A464" s="3" t="s">
        <v>496</v>
      </c>
      <c r="B464" t="s">
        <v>92</v>
      </c>
      <c r="C464" t="s">
        <v>55</v>
      </c>
      <c r="D464">
        <v>12</v>
      </c>
      <c r="E464" t="s">
        <v>25</v>
      </c>
      <c r="F464" t="s">
        <v>26</v>
      </c>
      <c r="G464" t="s">
        <v>370</v>
      </c>
      <c r="H464" s="1">
        <v>46296</v>
      </c>
      <c r="I464">
        <v>36</v>
      </c>
      <c r="J464" s="1" t="s">
        <v>539</v>
      </c>
      <c r="K464" t="str">
        <f t="shared" si="7"/>
        <v>Non-Expired</v>
      </c>
    </row>
    <row r="465" spans="1:11" x14ac:dyDescent="0.3">
      <c r="A465" s="3" t="s">
        <v>496</v>
      </c>
      <c r="B465" t="s">
        <v>80</v>
      </c>
      <c r="C465" t="s">
        <v>112</v>
      </c>
      <c r="D465">
        <v>10</v>
      </c>
      <c r="E465" t="s">
        <v>28</v>
      </c>
      <c r="F465" t="s">
        <v>29</v>
      </c>
      <c r="G465" t="s">
        <v>165</v>
      </c>
      <c r="H465" s="1">
        <v>46113</v>
      </c>
      <c r="I465">
        <v>40</v>
      </c>
      <c r="J465" s="1" t="s">
        <v>539</v>
      </c>
      <c r="K465" t="str">
        <f t="shared" si="7"/>
        <v>Non-Expired</v>
      </c>
    </row>
    <row r="466" spans="1:11" x14ac:dyDescent="0.3">
      <c r="A466" s="3" t="s">
        <v>497</v>
      </c>
      <c r="B466" t="s">
        <v>9</v>
      </c>
      <c r="C466" t="s">
        <v>112</v>
      </c>
      <c r="D466">
        <v>1</v>
      </c>
      <c r="E466" t="s">
        <v>33</v>
      </c>
      <c r="F466" t="s">
        <v>34</v>
      </c>
      <c r="G466" t="s">
        <v>371</v>
      </c>
      <c r="H466" s="1">
        <v>46296</v>
      </c>
      <c r="I466">
        <v>5</v>
      </c>
      <c r="J466" s="1" t="s">
        <v>539</v>
      </c>
      <c r="K466" t="str">
        <f t="shared" si="7"/>
        <v>Non-Expired</v>
      </c>
    </row>
    <row r="467" spans="1:11" x14ac:dyDescent="0.3">
      <c r="A467" s="3" t="s">
        <v>497</v>
      </c>
      <c r="B467" t="s">
        <v>9</v>
      </c>
      <c r="C467" t="s">
        <v>70</v>
      </c>
      <c r="D467">
        <v>28</v>
      </c>
      <c r="E467" t="s">
        <v>36</v>
      </c>
      <c r="F467" t="s">
        <v>37</v>
      </c>
      <c r="G467" t="s">
        <v>113</v>
      </c>
      <c r="H467" s="1">
        <v>46174</v>
      </c>
      <c r="I467">
        <v>168</v>
      </c>
      <c r="J467" s="1" t="s">
        <v>539</v>
      </c>
      <c r="K467" t="str">
        <f t="shared" si="7"/>
        <v>Non-Expired</v>
      </c>
    </row>
    <row r="468" spans="1:11" x14ac:dyDescent="0.3">
      <c r="A468" s="3" t="s">
        <v>497</v>
      </c>
      <c r="B468" t="s">
        <v>85</v>
      </c>
      <c r="C468" t="s">
        <v>203</v>
      </c>
      <c r="D468">
        <v>9</v>
      </c>
      <c r="E468" t="s">
        <v>41</v>
      </c>
      <c r="F468" t="s">
        <v>12</v>
      </c>
      <c r="G468" t="s">
        <v>372</v>
      </c>
      <c r="H468" s="1">
        <v>46508</v>
      </c>
      <c r="I468">
        <v>36</v>
      </c>
      <c r="J468" s="1" t="s">
        <v>539</v>
      </c>
      <c r="K468" t="str">
        <f t="shared" si="7"/>
        <v>Non-Expired</v>
      </c>
    </row>
    <row r="469" spans="1:11" x14ac:dyDescent="0.3">
      <c r="A469" s="3" t="s">
        <v>497</v>
      </c>
      <c r="B469" t="s">
        <v>9</v>
      </c>
      <c r="C469" t="s">
        <v>139</v>
      </c>
      <c r="D469">
        <v>16</v>
      </c>
      <c r="E469" t="s">
        <v>45</v>
      </c>
      <c r="F469" t="s">
        <v>16</v>
      </c>
      <c r="G469" t="s">
        <v>184</v>
      </c>
      <c r="H469" s="1">
        <v>46204</v>
      </c>
      <c r="I469">
        <v>160</v>
      </c>
      <c r="J469" s="1" t="s">
        <v>539</v>
      </c>
      <c r="K469" t="str">
        <f t="shared" si="7"/>
        <v>Non-Expired</v>
      </c>
    </row>
    <row r="470" spans="1:11" x14ac:dyDescent="0.3">
      <c r="A470" s="3" t="s">
        <v>497</v>
      </c>
      <c r="B470" t="s">
        <v>43</v>
      </c>
      <c r="C470" t="s">
        <v>59</v>
      </c>
      <c r="D470">
        <v>9</v>
      </c>
      <c r="E470" t="s">
        <v>49</v>
      </c>
      <c r="F470" t="s">
        <v>50</v>
      </c>
      <c r="G470" t="s">
        <v>373</v>
      </c>
      <c r="H470" s="1">
        <v>45047</v>
      </c>
      <c r="I470">
        <v>45</v>
      </c>
      <c r="J470" s="1" t="s">
        <v>539</v>
      </c>
      <c r="K470" t="str">
        <f t="shared" si="7"/>
        <v>Expired</v>
      </c>
    </row>
    <row r="471" spans="1:11" x14ac:dyDescent="0.3">
      <c r="A471" s="3" t="s">
        <v>497</v>
      </c>
      <c r="B471" t="s">
        <v>23</v>
      </c>
      <c r="C471" t="s">
        <v>210</v>
      </c>
      <c r="D471">
        <v>3</v>
      </c>
      <c r="E471" t="s">
        <v>52</v>
      </c>
      <c r="F471" t="s">
        <v>53</v>
      </c>
      <c r="G471" t="s">
        <v>364</v>
      </c>
      <c r="H471" s="1">
        <v>46569</v>
      </c>
      <c r="I471">
        <v>6</v>
      </c>
      <c r="J471" s="1" t="s">
        <v>539</v>
      </c>
      <c r="K471" t="str">
        <f t="shared" si="7"/>
        <v>Non-Expired</v>
      </c>
    </row>
    <row r="472" spans="1:11" x14ac:dyDescent="0.3">
      <c r="A472" s="3" t="s">
        <v>497</v>
      </c>
      <c r="B472" t="s">
        <v>9</v>
      </c>
      <c r="C472" t="s">
        <v>40</v>
      </c>
      <c r="D472">
        <v>26</v>
      </c>
      <c r="E472" t="s">
        <v>56</v>
      </c>
      <c r="F472" t="s">
        <v>53</v>
      </c>
      <c r="G472" t="s">
        <v>187</v>
      </c>
      <c r="H472" s="1">
        <v>46357</v>
      </c>
      <c r="I472">
        <v>260</v>
      </c>
      <c r="J472" s="1" t="s">
        <v>539</v>
      </c>
      <c r="K472" t="str">
        <f t="shared" si="7"/>
        <v>Non-Expired</v>
      </c>
    </row>
    <row r="473" spans="1:11" x14ac:dyDescent="0.3">
      <c r="A473" s="3" t="s">
        <v>497</v>
      </c>
      <c r="B473" t="s">
        <v>85</v>
      </c>
      <c r="C473" t="s">
        <v>162</v>
      </c>
      <c r="D473">
        <v>27</v>
      </c>
      <c r="E473" t="s">
        <v>60</v>
      </c>
      <c r="F473" t="s">
        <v>61</v>
      </c>
      <c r="G473" t="s">
        <v>157</v>
      </c>
      <c r="H473" s="1">
        <v>46753</v>
      </c>
      <c r="I473">
        <v>3240</v>
      </c>
      <c r="J473" s="1" t="s">
        <v>539</v>
      </c>
      <c r="K473" t="str">
        <f t="shared" si="7"/>
        <v>Non-Expired</v>
      </c>
    </row>
    <row r="474" spans="1:11" x14ac:dyDescent="0.3">
      <c r="A474" s="3">
        <v>45660</v>
      </c>
      <c r="B474" t="s">
        <v>43</v>
      </c>
      <c r="C474" t="s">
        <v>14</v>
      </c>
      <c r="D474">
        <v>10</v>
      </c>
      <c r="E474" t="s">
        <v>63</v>
      </c>
      <c r="F474" t="s">
        <v>50</v>
      </c>
      <c r="G474" t="s">
        <v>284</v>
      </c>
      <c r="H474" s="1">
        <v>46508</v>
      </c>
      <c r="I474">
        <v>200</v>
      </c>
      <c r="J474" s="1" t="s">
        <v>540</v>
      </c>
      <c r="K474" t="str">
        <f t="shared" si="7"/>
        <v>Non-Expired</v>
      </c>
    </row>
    <row r="475" spans="1:11" x14ac:dyDescent="0.3">
      <c r="A475" s="3">
        <v>45660</v>
      </c>
      <c r="B475" t="s">
        <v>43</v>
      </c>
      <c r="C475" t="s">
        <v>154</v>
      </c>
      <c r="D475">
        <v>6</v>
      </c>
      <c r="E475" t="s">
        <v>67</v>
      </c>
      <c r="F475" t="s">
        <v>68</v>
      </c>
      <c r="G475" t="s">
        <v>254</v>
      </c>
      <c r="H475" s="1">
        <v>46235</v>
      </c>
      <c r="I475">
        <v>180</v>
      </c>
      <c r="J475" s="1" t="s">
        <v>540</v>
      </c>
      <c r="K475" t="str">
        <f t="shared" si="7"/>
        <v>Non-Expired</v>
      </c>
    </row>
    <row r="476" spans="1:11" x14ac:dyDescent="0.3">
      <c r="A476" s="3">
        <v>45660</v>
      </c>
      <c r="B476" t="s">
        <v>43</v>
      </c>
      <c r="C476" t="s">
        <v>125</v>
      </c>
      <c r="D476">
        <v>29</v>
      </c>
      <c r="E476" t="s">
        <v>71</v>
      </c>
      <c r="F476" t="s">
        <v>72</v>
      </c>
      <c r="G476" t="s">
        <v>176</v>
      </c>
      <c r="H476" s="1">
        <v>45444</v>
      </c>
      <c r="I476">
        <v>1160</v>
      </c>
      <c r="J476" s="1" t="s">
        <v>540</v>
      </c>
      <c r="K476" t="str">
        <f t="shared" si="7"/>
        <v>Expired</v>
      </c>
    </row>
    <row r="477" spans="1:11" x14ac:dyDescent="0.3">
      <c r="A477" s="3">
        <v>45660</v>
      </c>
      <c r="B477" t="s">
        <v>97</v>
      </c>
      <c r="C477" t="s">
        <v>149</v>
      </c>
      <c r="D477">
        <v>8</v>
      </c>
      <c r="E477" t="s">
        <v>75</v>
      </c>
      <c r="F477" t="s">
        <v>16</v>
      </c>
      <c r="G477" t="s">
        <v>310</v>
      </c>
      <c r="H477" s="1">
        <v>46631</v>
      </c>
      <c r="I477">
        <v>400</v>
      </c>
      <c r="J477" s="1" t="s">
        <v>540</v>
      </c>
      <c r="K477" t="str">
        <f t="shared" si="7"/>
        <v>Non-Expired</v>
      </c>
    </row>
    <row r="478" spans="1:11" x14ac:dyDescent="0.3">
      <c r="A478" s="3">
        <v>45660</v>
      </c>
      <c r="B478" t="s">
        <v>31</v>
      </c>
      <c r="C478" t="s">
        <v>70</v>
      </c>
      <c r="D478">
        <v>28</v>
      </c>
      <c r="E478" t="s">
        <v>11</v>
      </c>
      <c r="F478" t="s">
        <v>12</v>
      </c>
      <c r="G478" t="s">
        <v>124</v>
      </c>
      <c r="H478" s="1">
        <v>46174</v>
      </c>
      <c r="I478">
        <v>56</v>
      </c>
      <c r="J478" s="1" t="s">
        <v>540</v>
      </c>
      <c r="K478" t="str">
        <f t="shared" si="7"/>
        <v>Non-Expired</v>
      </c>
    </row>
    <row r="479" spans="1:11" x14ac:dyDescent="0.3">
      <c r="A479" s="3">
        <v>45660</v>
      </c>
      <c r="B479" t="s">
        <v>9</v>
      </c>
      <c r="C479" t="s">
        <v>78</v>
      </c>
      <c r="D479">
        <v>4</v>
      </c>
      <c r="E479" t="s">
        <v>15</v>
      </c>
      <c r="F479" t="s">
        <v>16</v>
      </c>
      <c r="G479" t="s">
        <v>193</v>
      </c>
      <c r="H479" s="1">
        <v>46143</v>
      </c>
      <c r="I479">
        <v>12</v>
      </c>
      <c r="J479" s="1" t="s">
        <v>540</v>
      </c>
      <c r="K479" t="str">
        <f t="shared" si="7"/>
        <v>Non-Expired</v>
      </c>
    </row>
    <row r="480" spans="1:11" x14ac:dyDescent="0.3">
      <c r="A480" s="3">
        <v>45660</v>
      </c>
      <c r="B480" t="s">
        <v>23</v>
      </c>
      <c r="C480" t="s">
        <v>70</v>
      </c>
      <c r="D480">
        <v>29</v>
      </c>
      <c r="E480" t="s">
        <v>20</v>
      </c>
      <c r="F480" t="s">
        <v>21</v>
      </c>
      <c r="G480" t="s">
        <v>374</v>
      </c>
      <c r="H480" s="1">
        <v>46692</v>
      </c>
      <c r="I480">
        <v>232</v>
      </c>
      <c r="J480" s="1" t="s">
        <v>540</v>
      </c>
      <c r="K480" t="str">
        <f t="shared" si="7"/>
        <v>Non-Expired</v>
      </c>
    </row>
    <row r="481" spans="1:11" x14ac:dyDescent="0.3">
      <c r="A481" s="3">
        <v>45660</v>
      </c>
      <c r="B481" t="s">
        <v>23</v>
      </c>
      <c r="C481" t="s">
        <v>40</v>
      </c>
      <c r="D481">
        <v>14</v>
      </c>
      <c r="E481" t="s">
        <v>25</v>
      </c>
      <c r="F481" t="s">
        <v>26</v>
      </c>
      <c r="G481" t="s">
        <v>27</v>
      </c>
      <c r="H481" s="1">
        <v>45383</v>
      </c>
      <c r="I481">
        <v>42</v>
      </c>
      <c r="J481" s="1" t="s">
        <v>540</v>
      </c>
      <c r="K481" t="str">
        <f t="shared" si="7"/>
        <v>Expired</v>
      </c>
    </row>
    <row r="482" spans="1:11" x14ac:dyDescent="0.3">
      <c r="A482" s="3">
        <v>45691</v>
      </c>
      <c r="B482" t="s">
        <v>39</v>
      </c>
      <c r="C482" t="s">
        <v>162</v>
      </c>
      <c r="D482">
        <v>2</v>
      </c>
      <c r="E482" t="s">
        <v>28</v>
      </c>
      <c r="F482" t="s">
        <v>29</v>
      </c>
      <c r="G482" t="s">
        <v>375</v>
      </c>
      <c r="H482" s="1">
        <v>46357</v>
      </c>
      <c r="I482">
        <v>8</v>
      </c>
      <c r="J482" s="1" t="s">
        <v>540</v>
      </c>
      <c r="K482" t="str">
        <f t="shared" si="7"/>
        <v>Non-Expired</v>
      </c>
    </row>
    <row r="483" spans="1:11" x14ac:dyDescent="0.3">
      <c r="A483" s="3">
        <v>45691</v>
      </c>
      <c r="B483" t="s">
        <v>9</v>
      </c>
      <c r="C483" t="s">
        <v>154</v>
      </c>
      <c r="D483">
        <v>16</v>
      </c>
      <c r="E483" t="s">
        <v>33</v>
      </c>
      <c r="F483" t="s">
        <v>34</v>
      </c>
      <c r="G483" t="s">
        <v>86</v>
      </c>
      <c r="H483" s="1">
        <v>46143</v>
      </c>
      <c r="I483">
        <v>80</v>
      </c>
      <c r="J483" s="1" t="s">
        <v>540</v>
      </c>
      <c r="K483" t="str">
        <f t="shared" si="7"/>
        <v>Non-Expired</v>
      </c>
    </row>
    <row r="484" spans="1:11" x14ac:dyDescent="0.3">
      <c r="A484" s="3">
        <v>45691</v>
      </c>
      <c r="B484" t="s">
        <v>9</v>
      </c>
      <c r="C484" t="s">
        <v>44</v>
      </c>
      <c r="D484">
        <v>7</v>
      </c>
      <c r="E484" t="s">
        <v>36</v>
      </c>
      <c r="F484" t="s">
        <v>37</v>
      </c>
      <c r="G484" t="s">
        <v>166</v>
      </c>
      <c r="H484" s="1">
        <v>46082</v>
      </c>
      <c r="I484">
        <v>42</v>
      </c>
      <c r="J484" s="1" t="s">
        <v>540</v>
      </c>
      <c r="K484" t="str">
        <f t="shared" si="7"/>
        <v>Non-Expired</v>
      </c>
    </row>
    <row r="485" spans="1:11" x14ac:dyDescent="0.3">
      <c r="A485" s="3">
        <v>45691</v>
      </c>
      <c r="B485" t="s">
        <v>85</v>
      </c>
      <c r="C485" t="s">
        <v>10</v>
      </c>
      <c r="D485">
        <v>12</v>
      </c>
      <c r="E485" t="s">
        <v>41</v>
      </c>
      <c r="F485" t="s">
        <v>12</v>
      </c>
      <c r="G485" t="s">
        <v>42</v>
      </c>
      <c r="H485" s="1">
        <v>46631</v>
      </c>
      <c r="I485">
        <v>48</v>
      </c>
      <c r="J485" s="1" t="s">
        <v>540</v>
      </c>
      <c r="K485" t="str">
        <f t="shared" si="7"/>
        <v>Non-Expired</v>
      </c>
    </row>
    <row r="486" spans="1:11" x14ac:dyDescent="0.3">
      <c r="A486" s="3">
        <v>45691</v>
      </c>
      <c r="B486" t="s">
        <v>31</v>
      </c>
      <c r="C486" t="s">
        <v>203</v>
      </c>
      <c r="D486">
        <v>5</v>
      </c>
      <c r="E486" t="s">
        <v>45</v>
      </c>
      <c r="F486" t="s">
        <v>16</v>
      </c>
      <c r="G486" t="s">
        <v>153</v>
      </c>
      <c r="H486" s="1">
        <v>46569</v>
      </c>
      <c r="I486">
        <v>50</v>
      </c>
      <c r="J486" s="1" t="s">
        <v>540</v>
      </c>
      <c r="K486" t="str">
        <f t="shared" si="7"/>
        <v>Non-Expired</v>
      </c>
    </row>
    <row r="487" spans="1:11" x14ac:dyDescent="0.3">
      <c r="A487" s="3">
        <v>45691</v>
      </c>
      <c r="B487" t="s">
        <v>18</v>
      </c>
      <c r="C487" t="s">
        <v>107</v>
      </c>
      <c r="D487">
        <v>1</v>
      </c>
      <c r="E487" t="s">
        <v>49</v>
      </c>
      <c r="F487" t="s">
        <v>50</v>
      </c>
      <c r="G487" t="s">
        <v>320</v>
      </c>
      <c r="H487" s="1">
        <v>45444</v>
      </c>
      <c r="I487">
        <v>5</v>
      </c>
      <c r="J487" s="1" t="s">
        <v>540</v>
      </c>
      <c r="K487" t="str">
        <f t="shared" si="7"/>
        <v>Expired</v>
      </c>
    </row>
    <row r="488" spans="1:11" x14ac:dyDescent="0.3">
      <c r="A488" s="3">
        <v>45691</v>
      </c>
      <c r="B488" t="s">
        <v>18</v>
      </c>
      <c r="C488" t="s">
        <v>154</v>
      </c>
      <c r="D488">
        <v>8</v>
      </c>
      <c r="E488" t="s">
        <v>52</v>
      </c>
      <c r="F488" t="s">
        <v>53</v>
      </c>
      <c r="G488" t="s">
        <v>137</v>
      </c>
      <c r="H488" s="1">
        <v>46419</v>
      </c>
      <c r="I488">
        <v>16</v>
      </c>
      <c r="J488" s="1" t="s">
        <v>540</v>
      </c>
      <c r="K488" t="str">
        <f t="shared" si="7"/>
        <v>Non-Expired</v>
      </c>
    </row>
    <row r="489" spans="1:11" x14ac:dyDescent="0.3">
      <c r="A489" s="3">
        <v>45691</v>
      </c>
      <c r="B489" t="s">
        <v>85</v>
      </c>
      <c r="C489" t="s">
        <v>32</v>
      </c>
      <c r="D489">
        <v>2</v>
      </c>
      <c r="E489" t="s">
        <v>56</v>
      </c>
      <c r="F489" t="s">
        <v>53</v>
      </c>
      <c r="G489" t="s">
        <v>337</v>
      </c>
      <c r="H489" s="1">
        <v>46753</v>
      </c>
      <c r="I489">
        <v>20</v>
      </c>
      <c r="J489" s="1" t="s">
        <v>540</v>
      </c>
      <c r="K489" t="str">
        <f t="shared" si="7"/>
        <v>Non-Expired</v>
      </c>
    </row>
    <row r="490" spans="1:11" x14ac:dyDescent="0.3">
      <c r="A490" s="3">
        <v>45719</v>
      </c>
      <c r="B490" t="s">
        <v>80</v>
      </c>
      <c r="C490" t="s">
        <v>101</v>
      </c>
      <c r="D490">
        <v>21</v>
      </c>
      <c r="E490" t="s">
        <v>60</v>
      </c>
      <c r="F490" t="s">
        <v>61</v>
      </c>
      <c r="G490" t="s">
        <v>200</v>
      </c>
      <c r="H490" s="1">
        <v>46082</v>
      </c>
      <c r="I490">
        <v>2520</v>
      </c>
      <c r="J490" s="1" t="s">
        <v>540</v>
      </c>
      <c r="K490" t="str">
        <f t="shared" si="7"/>
        <v>Non-Expired</v>
      </c>
    </row>
    <row r="491" spans="1:11" x14ac:dyDescent="0.3">
      <c r="A491" s="3">
        <v>45719</v>
      </c>
      <c r="B491" t="s">
        <v>85</v>
      </c>
      <c r="C491" t="s">
        <v>173</v>
      </c>
      <c r="D491">
        <v>25</v>
      </c>
      <c r="E491" t="s">
        <v>63</v>
      </c>
      <c r="F491" t="s">
        <v>50</v>
      </c>
      <c r="G491" t="s">
        <v>376</v>
      </c>
      <c r="H491" s="1">
        <v>46692</v>
      </c>
      <c r="I491">
        <v>500</v>
      </c>
      <c r="J491" s="1" t="s">
        <v>540</v>
      </c>
      <c r="K491" t="str">
        <f t="shared" si="7"/>
        <v>Non-Expired</v>
      </c>
    </row>
    <row r="492" spans="1:11" x14ac:dyDescent="0.3">
      <c r="A492" s="3">
        <v>45719</v>
      </c>
      <c r="B492" t="s">
        <v>23</v>
      </c>
      <c r="C492" t="s">
        <v>107</v>
      </c>
      <c r="D492">
        <v>11</v>
      </c>
      <c r="E492" t="s">
        <v>67</v>
      </c>
      <c r="F492" t="s">
        <v>68</v>
      </c>
      <c r="G492" t="s">
        <v>69</v>
      </c>
      <c r="H492" s="1">
        <v>46813</v>
      </c>
      <c r="I492">
        <v>330</v>
      </c>
      <c r="J492" s="1" t="s">
        <v>540</v>
      </c>
      <c r="K492" t="str">
        <f t="shared" si="7"/>
        <v>Non-Expired</v>
      </c>
    </row>
    <row r="493" spans="1:11" x14ac:dyDescent="0.3">
      <c r="A493" s="3">
        <v>45719</v>
      </c>
      <c r="B493" t="s">
        <v>47</v>
      </c>
      <c r="C493" t="s">
        <v>44</v>
      </c>
      <c r="D493">
        <v>13</v>
      </c>
      <c r="E493" t="s">
        <v>71</v>
      </c>
      <c r="F493" t="s">
        <v>72</v>
      </c>
      <c r="G493" t="s">
        <v>377</v>
      </c>
      <c r="H493" s="1">
        <v>45505</v>
      </c>
      <c r="I493">
        <v>520</v>
      </c>
      <c r="J493" s="1" t="s">
        <v>540</v>
      </c>
      <c r="K493" t="str">
        <f t="shared" si="7"/>
        <v>Expired</v>
      </c>
    </row>
    <row r="494" spans="1:11" x14ac:dyDescent="0.3">
      <c r="A494" s="3">
        <v>45719</v>
      </c>
      <c r="B494" t="s">
        <v>18</v>
      </c>
      <c r="C494" t="s">
        <v>10</v>
      </c>
      <c r="D494">
        <v>9</v>
      </c>
      <c r="E494" t="s">
        <v>75</v>
      </c>
      <c r="F494" t="s">
        <v>16</v>
      </c>
      <c r="G494" t="s">
        <v>104</v>
      </c>
      <c r="H494" s="1">
        <v>45352</v>
      </c>
      <c r="I494">
        <v>450</v>
      </c>
      <c r="J494" s="1" t="s">
        <v>540</v>
      </c>
      <c r="K494" t="str">
        <f t="shared" si="7"/>
        <v>Expired</v>
      </c>
    </row>
    <row r="495" spans="1:11" x14ac:dyDescent="0.3">
      <c r="A495" s="3">
        <v>45719</v>
      </c>
      <c r="B495" t="s">
        <v>31</v>
      </c>
      <c r="C495" t="s">
        <v>74</v>
      </c>
      <c r="D495">
        <v>16</v>
      </c>
      <c r="E495" t="s">
        <v>11</v>
      </c>
      <c r="F495" t="s">
        <v>12</v>
      </c>
      <c r="G495" t="s">
        <v>145</v>
      </c>
      <c r="H495" s="1">
        <v>46113</v>
      </c>
      <c r="I495">
        <v>32</v>
      </c>
      <c r="J495" s="1" t="s">
        <v>540</v>
      </c>
      <c r="K495" t="str">
        <f t="shared" si="7"/>
        <v>Non-Expired</v>
      </c>
    </row>
    <row r="496" spans="1:11" x14ac:dyDescent="0.3">
      <c r="A496" s="3">
        <v>45719</v>
      </c>
      <c r="B496" t="s">
        <v>9</v>
      </c>
      <c r="C496" t="s">
        <v>83</v>
      </c>
      <c r="D496">
        <v>30</v>
      </c>
      <c r="E496" t="s">
        <v>15</v>
      </c>
      <c r="F496" t="s">
        <v>16</v>
      </c>
      <c r="G496" t="s">
        <v>106</v>
      </c>
      <c r="H496" s="1">
        <v>46692</v>
      </c>
      <c r="I496">
        <v>90</v>
      </c>
      <c r="J496" s="1" t="s">
        <v>540</v>
      </c>
      <c r="K496" t="str">
        <f t="shared" si="7"/>
        <v>Non-Expired</v>
      </c>
    </row>
    <row r="497" spans="1:11" x14ac:dyDescent="0.3">
      <c r="A497" s="3">
        <v>45719</v>
      </c>
      <c r="B497" t="s">
        <v>92</v>
      </c>
      <c r="C497" t="s">
        <v>103</v>
      </c>
      <c r="D497">
        <v>3</v>
      </c>
      <c r="E497" t="s">
        <v>20</v>
      </c>
      <c r="F497" t="s">
        <v>21</v>
      </c>
      <c r="G497" t="s">
        <v>258</v>
      </c>
      <c r="H497" s="1">
        <v>46600</v>
      </c>
      <c r="I497">
        <v>24</v>
      </c>
      <c r="J497" s="1" t="s">
        <v>540</v>
      </c>
      <c r="K497" t="str">
        <f t="shared" si="7"/>
        <v>Non-Expired</v>
      </c>
    </row>
    <row r="498" spans="1:11" x14ac:dyDescent="0.3">
      <c r="A498" s="3">
        <v>45750</v>
      </c>
      <c r="B498" t="s">
        <v>9</v>
      </c>
      <c r="C498" t="s">
        <v>125</v>
      </c>
      <c r="D498">
        <v>18</v>
      </c>
      <c r="E498" t="s">
        <v>25</v>
      </c>
      <c r="F498" t="s">
        <v>26</v>
      </c>
      <c r="G498" t="s">
        <v>287</v>
      </c>
      <c r="H498" s="1">
        <v>46388</v>
      </c>
      <c r="I498">
        <v>54</v>
      </c>
      <c r="J498" s="1" t="s">
        <v>540</v>
      </c>
      <c r="K498" t="str">
        <f t="shared" si="7"/>
        <v>Non-Expired</v>
      </c>
    </row>
    <row r="499" spans="1:11" x14ac:dyDescent="0.3">
      <c r="A499" s="3">
        <v>45750</v>
      </c>
      <c r="B499" t="s">
        <v>43</v>
      </c>
      <c r="C499" t="s">
        <v>125</v>
      </c>
      <c r="D499">
        <v>12</v>
      </c>
      <c r="E499" t="s">
        <v>28</v>
      </c>
      <c r="F499" t="s">
        <v>29</v>
      </c>
      <c r="G499" t="s">
        <v>343</v>
      </c>
      <c r="H499" s="1">
        <v>46388</v>
      </c>
      <c r="I499">
        <v>48</v>
      </c>
      <c r="J499" s="1" t="s">
        <v>540</v>
      </c>
      <c r="K499" t="str">
        <f t="shared" si="7"/>
        <v>Non-Expired</v>
      </c>
    </row>
    <row r="500" spans="1:11" x14ac:dyDescent="0.3">
      <c r="A500" s="3">
        <v>45750</v>
      </c>
      <c r="B500" t="s">
        <v>9</v>
      </c>
      <c r="C500" t="s">
        <v>19</v>
      </c>
      <c r="D500">
        <v>14</v>
      </c>
      <c r="E500" t="s">
        <v>33</v>
      </c>
      <c r="F500" t="s">
        <v>34</v>
      </c>
      <c r="G500" t="s">
        <v>378</v>
      </c>
      <c r="H500" s="1">
        <v>46478</v>
      </c>
      <c r="I500">
        <v>70</v>
      </c>
      <c r="J500" s="1" t="s">
        <v>540</v>
      </c>
      <c r="K500" t="str">
        <f t="shared" si="7"/>
        <v>Non-Expired</v>
      </c>
    </row>
    <row r="501" spans="1:11" x14ac:dyDescent="0.3">
      <c r="A501" s="3">
        <v>45750</v>
      </c>
      <c r="B501" t="s">
        <v>80</v>
      </c>
      <c r="C501" t="s">
        <v>19</v>
      </c>
      <c r="D501">
        <v>25</v>
      </c>
      <c r="E501" t="s">
        <v>36</v>
      </c>
      <c r="F501" t="s">
        <v>37</v>
      </c>
      <c r="G501" t="s">
        <v>113</v>
      </c>
      <c r="H501" s="1">
        <v>45536</v>
      </c>
      <c r="I501">
        <v>150</v>
      </c>
      <c r="J501" s="1" t="s">
        <v>540</v>
      </c>
      <c r="K501" t="str">
        <f t="shared" si="7"/>
        <v>Expired</v>
      </c>
    </row>
    <row r="502" spans="1:11" x14ac:dyDescent="0.3">
      <c r="A502" s="3">
        <v>45750</v>
      </c>
      <c r="B502" t="s">
        <v>9</v>
      </c>
      <c r="C502" t="s">
        <v>78</v>
      </c>
      <c r="D502">
        <v>10</v>
      </c>
      <c r="E502" t="s">
        <v>41</v>
      </c>
      <c r="F502" t="s">
        <v>12</v>
      </c>
      <c r="G502" t="s">
        <v>379</v>
      </c>
      <c r="H502" s="1">
        <v>45444</v>
      </c>
      <c r="I502">
        <v>40</v>
      </c>
      <c r="J502" s="1" t="s">
        <v>540</v>
      </c>
      <c r="K502" t="str">
        <f t="shared" si="7"/>
        <v>Expired</v>
      </c>
    </row>
    <row r="503" spans="1:11" x14ac:dyDescent="0.3">
      <c r="A503" s="3">
        <v>45750</v>
      </c>
      <c r="B503" t="s">
        <v>9</v>
      </c>
      <c r="C503" t="s">
        <v>128</v>
      </c>
      <c r="D503">
        <v>11</v>
      </c>
      <c r="E503" t="s">
        <v>45</v>
      </c>
      <c r="F503" t="s">
        <v>16</v>
      </c>
      <c r="G503" t="s">
        <v>306</v>
      </c>
      <c r="H503" s="1">
        <v>46327</v>
      </c>
      <c r="I503">
        <v>110</v>
      </c>
      <c r="J503" s="1" t="s">
        <v>540</v>
      </c>
      <c r="K503" t="str">
        <f t="shared" si="7"/>
        <v>Non-Expired</v>
      </c>
    </row>
    <row r="504" spans="1:11" x14ac:dyDescent="0.3">
      <c r="A504" s="3">
        <v>45750</v>
      </c>
      <c r="B504" t="s">
        <v>18</v>
      </c>
      <c r="C504" t="s">
        <v>128</v>
      </c>
      <c r="D504">
        <v>20</v>
      </c>
      <c r="E504" t="s">
        <v>49</v>
      </c>
      <c r="F504" t="s">
        <v>50</v>
      </c>
      <c r="G504" t="s">
        <v>51</v>
      </c>
      <c r="H504" s="1">
        <v>46235</v>
      </c>
      <c r="I504">
        <v>100</v>
      </c>
      <c r="J504" s="1" t="s">
        <v>540</v>
      </c>
      <c r="K504" t="str">
        <f t="shared" si="7"/>
        <v>Non-Expired</v>
      </c>
    </row>
    <row r="505" spans="1:11" x14ac:dyDescent="0.3">
      <c r="A505" s="3">
        <v>45750</v>
      </c>
      <c r="B505" t="s">
        <v>9</v>
      </c>
      <c r="C505" t="s">
        <v>44</v>
      </c>
      <c r="D505">
        <v>24</v>
      </c>
      <c r="E505" t="s">
        <v>52</v>
      </c>
      <c r="F505" t="s">
        <v>53</v>
      </c>
      <c r="G505" t="s">
        <v>380</v>
      </c>
      <c r="H505" s="1">
        <v>46692</v>
      </c>
      <c r="I505">
        <v>48</v>
      </c>
      <c r="J505" s="1" t="s">
        <v>540</v>
      </c>
      <c r="K505" t="str">
        <f t="shared" si="7"/>
        <v>Non-Expired</v>
      </c>
    </row>
    <row r="506" spans="1:11" x14ac:dyDescent="0.3">
      <c r="A506" s="3">
        <v>45780</v>
      </c>
      <c r="B506" t="s">
        <v>39</v>
      </c>
      <c r="C506" t="s">
        <v>162</v>
      </c>
      <c r="D506">
        <v>21</v>
      </c>
      <c r="E506" t="s">
        <v>56</v>
      </c>
      <c r="F506" t="s">
        <v>53</v>
      </c>
      <c r="G506" t="s">
        <v>381</v>
      </c>
      <c r="H506" s="1">
        <v>46204</v>
      </c>
      <c r="I506">
        <v>210</v>
      </c>
      <c r="J506" s="1" t="s">
        <v>540</v>
      </c>
      <c r="K506" t="str">
        <f t="shared" si="7"/>
        <v>Non-Expired</v>
      </c>
    </row>
    <row r="507" spans="1:11" x14ac:dyDescent="0.3">
      <c r="A507" s="3">
        <v>45780</v>
      </c>
      <c r="B507" t="s">
        <v>92</v>
      </c>
      <c r="C507" t="s">
        <v>10</v>
      </c>
      <c r="D507">
        <v>22</v>
      </c>
      <c r="E507" t="s">
        <v>60</v>
      </c>
      <c r="F507" t="s">
        <v>61</v>
      </c>
      <c r="G507" t="s">
        <v>118</v>
      </c>
      <c r="H507" s="1">
        <v>46023</v>
      </c>
      <c r="I507">
        <v>2640</v>
      </c>
      <c r="J507" s="1" t="s">
        <v>540</v>
      </c>
      <c r="K507" t="str">
        <f t="shared" si="7"/>
        <v>Non-Expired</v>
      </c>
    </row>
    <row r="508" spans="1:11" x14ac:dyDescent="0.3">
      <c r="A508" s="3">
        <v>45780</v>
      </c>
      <c r="B508" t="s">
        <v>92</v>
      </c>
      <c r="C508" t="s">
        <v>170</v>
      </c>
      <c r="D508">
        <v>27</v>
      </c>
      <c r="E508" t="s">
        <v>63</v>
      </c>
      <c r="F508" t="s">
        <v>50</v>
      </c>
      <c r="G508" t="s">
        <v>241</v>
      </c>
      <c r="H508" s="1">
        <v>46113</v>
      </c>
      <c r="I508">
        <v>540</v>
      </c>
      <c r="J508" s="1" t="s">
        <v>540</v>
      </c>
      <c r="K508" t="str">
        <f t="shared" si="7"/>
        <v>Non-Expired</v>
      </c>
    </row>
    <row r="509" spans="1:11" x14ac:dyDescent="0.3">
      <c r="A509" s="3">
        <v>45780</v>
      </c>
      <c r="B509" t="s">
        <v>90</v>
      </c>
      <c r="C509" t="s">
        <v>74</v>
      </c>
      <c r="D509">
        <v>4</v>
      </c>
      <c r="E509" t="s">
        <v>67</v>
      </c>
      <c r="F509" t="s">
        <v>68</v>
      </c>
      <c r="G509" t="s">
        <v>351</v>
      </c>
      <c r="H509" s="1">
        <v>45231</v>
      </c>
      <c r="I509">
        <v>120</v>
      </c>
      <c r="J509" s="1" t="s">
        <v>540</v>
      </c>
      <c r="K509" t="str">
        <f t="shared" si="7"/>
        <v>Expired</v>
      </c>
    </row>
    <row r="510" spans="1:11" x14ac:dyDescent="0.3">
      <c r="A510" s="3">
        <v>45780</v>
      </c>
      <c r="B510" t="s">
        <v>9</v>
      </c>
      <c r="C510" t="s">
        <v>32</v>
      </c>
      <c r="D510">
        <v>24</v>
      </c>
      <c r="E510" t="s">
        <v>71</v>
      </c>
      <c r="F510" t="s">
        <v>72</v>
      </c>
      <c r="G510" t="s">
        <v>366</v>
      </c>
      <c r="H510" s="1">
        <v>45231</v>
      </c>
      <c r="I510">
        <v>960</v>
      </c>
      <c r="J510" s="1" t="s">
        <v>540</v>
      </c>
      <c r="K510" t="str">
        <f t="shared" si="7"/>
        <v>Expired</v>
      </c>
    </row>
    <row r="511" spans="1:11" x14ac:dyDescent="0.3">
      <c r="A511" s="3">
        <v>45780</v>
      </c>
      <c r="B511" t="s">
        <v>92</v>
      </c>
      <c r="C511" t="s">
        <v>154</v>
      </c>
      <c r="D511">
        <v>21</v>
      </c>
      <c r="E511" t="s">
        <v>75</v>
      </c>
      <c r="F511" t="s">
        <v>16</v>
      </c>
      <c r="G511" t="s">
        <v>367</v>
      </c>
      <c r="H511" s="1">
        <v>46296</v>
      </c>
      <c r="I511">
        <v>1050</v>
      </c>
      <c r="J511" s="1" t="s">
        <v>540</v>
      </c>
      <c r="K511" t="str">
        <f t="shared" si="7"/>
        <v>Non-Expired</v>
      </c>
    </row>
    <row r="512" spans="1:11" x14ac:dyDescent="0.3">
      <c r="A512" s="3">
        <v>45780</v>
      </c>
      <c r="B512" t="s">
        <v>31</v>
      </c>
      <c r="C512" t="s">
        <v>24</v>
      </c>
      <c r="D512">
        <v>6</v>
      </c>
      <c r="E512" t="s">
        <v>11</v>
      </c>
      <c r="F512" t="s">
        <v>12</v>
      </c>
      <c r="G512" t="s">
        <v>359</v>
      </c>
      <c r="H512" s="1">
        <v>46143</v>
      </c>
      <c r="I512">
        <v>12</v>
      </c>
      <c r="J512" s="1" t="s">
        <v>540</v>
      </c>
      <c r="K512" t="str">
        <f t="shared" si="7"/>
        <v>Non-Expired</v>
      </c>
    </row>
    <row r="513" spans="1:11" x14ac:dyDescent="0.3">
      <c r="A513" s="3">
        <v>45780</v>
      </c>
      <c r="B513" t="s">
        <v>39</v>
      </c>
      <c r="C513" t="s">
        <v>83</v>
      </c>
      <c r="D513">
        <v>17</v>
      </c>
      <c r="E513" t="s">
        <v>15</v>
      </c>
      <c r="F513" t="s">
        <v>16</v>
      </c>
      <c r="G513" t="s">
        <v>353</v>
      </c>
      <c r="H513" s="1">
        <v>46569</v>
      </c>
      <c r="I513">
        <v>51</v>
      </c>
      <c r="J513" s="1" t="s">
        <v>540</v>
      </c>
      <c r="K513" t="str">
        <f t="shared" si="7"/>
        <v>Non-Expired</v>
      </c>
    </row>
    <row r="514" spans="1:11" x14ac:dyDescent="0.3">
      <c r="A514" s="3">
        <v>45811</v>
      </c>
      <c r="B514" t="s">
        <v>9</v>
      </c>
      <c r="C514" t="s">
        <v>128</v>
      </c>
      <c r="D514">
        <v>18</v>
      </c>
      <c r="E514" t="s">
        <v>20</v>
      </c>
      <c r="F514" t="s">
        <v>21</v>
      </c>
      <c r="G514" t="s">
        <v>382</v>
      </c>
      <c r="H514" s="1">
        <v>46327</v>
      </c>
      <c r="I514">
        <v>144</v>
      </c>
      <c r="J514" s="1" t="s">
        <v>540</v>
      </c>
      <c r="K514" t="str">
        <f t="shared" si="7"/>
        <v>Non-Expired</v>
      </c>
    </row>
    <row r="515" spans="1:11" x14ac:dyDescent="0.3">
      <c r="A515" s="3">
        <v>45811</v>
      </c>
      <c r="B515" t="s">
        <v>31</v>
      </c>
      <c r="C515" t="s">
        <v>55</v>
      </c>
      <c r="D515">
        <v>29</v>
      </c>
      <c r="E515" t="s">
        <v>25</v>
      </c>
      <c r="F515" t="s">
        <v>26</v>
      </c>
      <c r="G515" t="s">
        <v>224</v>
      </c>
      <c r="H515" s="1">
        <v>46722</v>
      </c>
      <c r="I515">
        <v>87</v>
      </c>
      <c r="J515" s="1" t="s">
        <v>540</v>
      </c>
      <c r="K515" t="str">
        <f t="shared" ref="K515:K578" si="8">IF(H515&lt;=DATE(2025,5,5),"Expired","Non-Expired")</f>
        <v>Non-Expired</v>
      </c>
    </row>
    <row r="516" spans="1:11" x14ac:dyDescent="0.3">
      <c r="A516" s="3">
        <v>45811</v>
      </c>
      <c r="B516" t="s">
        <v>31</v>
      </c>
      <c r="C516" t="s">
        <v>112</v>
      </c>
      <c r="D516">
        <v>6</v>
      </c>
      <c r="E516" t="s">
        <v>28</v>
      </c>
      <c r="F516" t="s">
        <v>29</v>
      </c>
      <c r="G516" t="s">
        <v>383</v>
      </c>
      <c r="H516" s="1">
        <v>45352</v>
      </c>
      <c r="I516">
        <v>24</v>
      </c>
      <c r="J516" s="1" t="s">
        <v>540</v>
      </c>
      <c r="K516" t="str">
        <f t="shared" si="8"/>
        <v>Expired</v>
      </c>
    </row>
    <row r="517" spans="1:11" x14ac:dyDescent="0.3">
      <c r="A517" s="3">
        <v>45811</v>
      </c>
      <c r="B517" t="s">
        <v>92</v>
      </c>
      <c r="C517" t="s">
        <v>78</v>
      </c>
      <c r="D517">
        <v>27</v>
      </c>
      <c r="E517" t="s">
        <v>33</v>
      </c>
      <c r="F517" t="s">
        <v>34</v>
      </c>
      <c r="G517" t="s">
        <v>371</v>
      </c>
      <c r="H517" s="1">
        <v>45413</v>
      </c>
      <c r="I517">
        <v>135</v>
      </c>
      <c r="J517" s="1" t="s">
        <v>540</v>
      </c>
      <c r="K517" t="str">
        <f t="shared" si="8"/>
        <v>Expired</v>
      </c>
    </row>
    <row r="518" spans="1:11" x14ac:dyDescent="0.3">
      <c r="A518" s="3">
        <v>45811</v>
      </c>
      <c r="B518" t="s">
        <v>85</v>
      </c>
      <c r="C518" t="s">
        <v>103</v>
      </c>
      <c r="D518">
        <v>29</v>
      </c>
      <c r="E518" t="s">
        <v>36</v>
      </c>
      <c r="F518" t="s">
        <v>37</v>
      </c>
      <c r="G518" t="s">
        <v>344</v>
      </c>
      <c r="H518" s="1">
        <v>46447</v>
      </c>
      <c r="I518">
        <v>174</v>
      </c>
      <c r="J518" s="1" t="s">
        <v>540</v>
      </c>
      <c r="K518" t="str">
        <f t="shared" si="8"/>
        <v>Non-Expired</v>
      </c>
    </row>
    <row r="519" spans="1:11" x14ac:dyDescent="0.3">
      <c r="A519" s="3">
        <v>45811</v>
      </c>
      <c r="B519" t="s">
        <v>18</v>
      </c>
      <c r="C519" t="s">
        <v>66</v>
      </c>
      <c r="D519">
        <v>16</v>
      </c>
      <c r="E519" t="s">
        <v>41</v>
      </c>
      <c r="F519" t="s">
        <v>12</v>
      </c>
      <c r="G519" t="s">
        <v>384</v>
      </c>
      <c r="H519" s="1">
        <v>46174</v>
      </c>
      <c r="I519">
        <v>64</v>
      </c>
      <c r="J519" s="1" t="s">
        <v>540</v>
      </c>
      <c r="K519" t="str">
        <f t="shared" si="8"/>
        <v>Non-Expired</v>
      </c>
    </row>
    <row r="520" spans="1:11" x14ac:dyDescent="0.3">
      <c r="A520" s="3">
        <v>45811</v>
      </c>
      <c r="B520" t="s">
        <v>9</v>
      </c>
      <c r="C520" t="s">
        <v>119</v>
      </c>
      <c r="D520">
        <v>30</v>
      </c>
      <c r="E520" t="s">
        <v>45</v>
      </c>
      <c r="F520" t="s">
        <v>16</v>
      </c>
      <c r="G520" t="s">
        <v>260</v>
      </c>
      <c r="H520" s="1">
        <v>46661</v>
      </c>
      <c r="I520">
        <v>300</v>
      </c>
      <c r="J520" s="1" t="s">
        <v>540</v>
      </c>
      <c r="K520" t="str">
        <f t="shared" si="8"/>
        <v>Non-Expired</v>
      </c>
    </row>
    <row r="521" spans="1:11" x14ac:dyDescent="0.3">
      <c r="A521" s="3">
        <v>45811</v>
      </c>
      <c r="B521" t="s">
        <v>90</v>
      </c>
      <c r="C521" t="s">
        <v>44</v>
      </c>
      <c r="D521">
        <v>10</v>
      </c>
      <c r="E521" t="s">
        <v>49</v>
      </c>
      <c r="F521" t="s">
        <v>50</v>
      </c>
      <c r="G521" t="s">
        <v>385</v>
      </c>
      <c r="H521" s="1">
        <v>46235</v>
      </c>
      <c r="I521">
        <v>50</v>
      </c>
      <c r="J521" s="1" t="s">
        <v>540</v>
      </c>
      <c r="K521" t="str">
        <f t="shared" si="8"/>
        <v>Non-Expired</v>
      </c>
    </row>
    <row r="522" spans="1:11" x14ac:dyDescent="0.3">
      <c r="A522" s="3">
        <v>45841</v>
      </c>
      <c r="B522" t="s">
        <v>9</v>
      </c>
      <c r="C522" t="s">
        <v>173</v>
      </c>
      <c r="D522">
        <v>2</v>
      </c>
      <c r="E522" t="s">
        <v>52</v>
      </c>
      <c r="F522" t="s">
        <v>53</v>
      </c>
      <c r="G522" t="s">
        <v>386</v>
      </c>
      <c r="H522" s="1">
        <v>46419</v>
      </c>
      <c r="I522">
        <v>4</v>
      </c>
      <c r="J522" s="1" t="s">
        <v>540</v>
      </c>
      <c r="K522" t="str">
        <f t="shared" si="8"/>
        <v>Non-Expired</v>
      </c>
    </row>
    <row r="523" spans="1:11" x14ac:dyDescent="0.3">
      <c r="A523" s="3">
        <v>45841</v>
      </c>
      <c r="B523" t="s">
        <v>47</v>
      </c>
      <c r="C523" t="s">
        <v>88</v>
      </c>
      <c r="D523">
        <v>1</v>
      </c>
      <c r="E523" t="s">
        <v>56</v>
      </c>
      <c r="F523" t="s">
        <v>53</v>
      </c>
      <c r="G523" t="s">
        <v>240</v>
      </c>
      <c r="H523" s="1">
        <v>45352</v>
      </c>
      <c r="I523">
        <v>10</v>
      </c>
      <c r="J523" s="1" t="s">
        <v>540</v>
      </c>
      <c r="K523" t="str">
        <f t="shared" si="8"/>
        <v>Expired</v>
      </c>
    </row>
    <row r="524" spans="1:11" x14ac:dyDescent="0.3">
      <c r="A524" s="3">
        <v>45841</v>
      </c>
      <c r="B524" t="s">
        <v>9</v>
      </c>
      <c r="C524" t="s">
        <v>55</v>
      </c>
      <c r="D524">
        <v>27</v>
      </c>
      <c r="E524" t="s">
        <v>60</v>
      </c>
      <c r="F524" t="s">
        <v>61</v>
      </c>
      <c r="G524" t="s">
        <v>188</v>
      </c>
      <c r="H524" s="1">
        <v>46054</v>
      </c>
      <c r="I524">
        <v>3240</v>
      </c>
      <c r="J524" s="1" t="s">
        <v>540</v>
      </c>
      <c r="K524" t="str">
        <f t="shared" si="8"/>
        <v>Non-Expired</v>
      </c>
    </row>
    <row r="525" spans="1:11" x14ac:dyDescent="0.3">
      <c r="A525" s="3">
        <v>45841</v>
      </c>
      <c r="B525" t="s">
        <v>58</v>
      </c>
      <c r="C525" t="s">
        <v>19</v>
      </c>
      <c r="D525">
        <v>27</v>
      </c>
      <c r="E525" t="s">
        <v>63</v>
      </c>
      <c r="F525" t="s">
        <v>50</v>
      </c>
      <c r="G525" t="s">
        <v>201</v>
      </c>
      <c r="H525" s="1">
        <v>45658</v>
      </c>
      <c r="I525">
        <v>540</v>
      </c>
      <c r="J525" s="1" t="s">
        <v>540</v>
      </c>
      <c r="K525" t="str">
        <f t="shared" si="8"/>
        <v>Expired</v>
      </c>
    </row>
    <row r="526" spans="1:11" x14ac:dyDescent="0.3">
      <c r="A526" s="3">
        <v>45841</v>
      </c>
      <c r="B526" t="s">
        <v>90</v>
      </c>
      <c r="C526" t="s">
        <v>125</v>
      </c>
      <c r="D526">
        <v>15</v>
      </c>
      <c r="E526" t="s">
        <v>67</v>
      </c>
      <c r="F526" t="s">
        <v>68</v>
      </c>
      <c r="G526" t="s">
        <v>276</v>
      </c>
      <c r="H526" s="1">
        <v>46508</v>
      </c>
      <c r="I526">
        <v>450</v>
      </c>
      <c r="J526" s="1" t="s">
        <v>540</v>
      </c>
      <c r="K526" t="str">
        <f t="shared" si="8"/>
        <v>Non-Expired</v>
      </c>
    </row>
    <row r="527" spans="1:11" x14ac:dyDescent="0.3">
      <c r="A527" s="3">
        <v>45841</v>
      </c>
      <c r="B527" t="s">
        <v>23</v>
      </c>
      <c r="C527" t="s">
        <v>99</v>
      </c>
      <c r="D527">
        <v>10</v>
      </c>
      <c r="E527" t="s">
        <v>71</v>
      </c>
      <c r="F527" t="s">
        <v>72</v>
      </c>
      <c r="G527" t="s">
        <v>160</v>
      </c>
      <c r="H527" s="1">
        <v>46113</v>
      </c>
      <c r="I527">
        <v>400</v>
      </c>
      <c r="J527" s="1" t="s">
        <v>540</v>
      </c>
      <c r="K527" t="str">
        <f t="shared" si="8"/>
        <v>Non-Expired</v>
      </c>
    </row>
    <row r="528" spans="1:11" x14ac:dyDescent="0.3">
      <c r="A528" s="3">
        <v>45841</v>
      </c>
      <c r="B528" t="s">
        <v>80</v>
      </c>
      <c r="C528" t="s">
        <v>125</v>
      </c>
      <c r="D528">
        <v>27</v>
      </c>
      <c r="E528" t="s">
        <v>75</v>
      </c>
      <c r="F528" t="s">
        <v>16</v>
      </c>
      <c r="G528" t="s">
        <v>387</v>
      </c>
      <c r="H528" s="1">
        <v>46419</v>
      </c>
      <c r="I528">
        <v>1350</v>
      </c>
      <c r="J528" s="1" t="s">
        <v>540</v>
      </c>
      <c r="K528" t="str">
        <f t="shared" si="8"/>
        <v>Non-Expired</v>
      </c>
    </row>
    <row r="529" spans="1:11" x14ac:dyDescent="0.3">
      <c r="A529" s="3">
        <v>45841</v>
      </c>
      <c r="B529" t="s">
        <v>92</v>
      </c>
      <c r="C529" t="s">
        <v>101</v>
      </c>
      <c r="D529">
        <v>17</v>
      </c>
      <c r="E529" t="s">
        <v>11</v>
      </c>
      <c r="F529" t="s">
        <v>12</v>
      </c>
      <c r="G529" t="s">
        <v>192</v>
      </c>
      <c r="H529" s="1">
        <v>46388</v>
      </c>
      <c r="I529">
        <v>34</v>
      </c>
      <c r="J529" s="1" t="s">
        <v>540</v>
      </c>
      <c r="K529" t="str">
        <f t="shared" si="8"/>
        <v>Non-Expired</v>
      </c>
    </row>
    <row r="530" spans="1:11" x14ac:dyDescent="0.3">
      <c r="A530" s="3">
        <v>45872</v>
      </c>
      <c r="B530" t="s">
        <v>47</v>
      </c>
      <c r="C530" t="s">
        <v>180</v>
      </c>
      <c r="D530">
        <v>11</v>
      </c>
      <c r="E530" t="s">
        <v>15</v>
      </c>
      <c r="F530" t="s">
        <v>16</v>
      </c>
      <c r="G530" t="s">
        <v>388</v>
      </c>
      <c r="H530" s="1">
        <v>46054</v>
      </c>
      <c r="I530">
        <v>33</v>
      </c>
      <c r="J530" s="1" t="s">
        <v>540</v>
      </c>
      <c r="K530" t="str">
        <f t="shared" si="8"/>
        <v>Non-Expired</v>
      </c>
    </row>
    <row r="531" spans="1:11" x14ac:dyDescent="0.3">
      <c r="A531" s="3">
        <v>45872</v>
      </c>
      <c r="B531" t="s">
        <v>31</v>
      </c>
      <c r="C531" t="s">
        <v>10</v>
      </c>
      <c r="D531">
        <v>30</v>
      </c>
      <c r="E531" t="s">
        <v>20</v>
      </c>
      <c r="F531" t="s">
        <v>21</v>
      </c>
      <c r="G531" t="s">
        <v>127</v>
      </c>
      <c r="H531" s="1">
        <v>46631</v>
      </c>
      <c r="I531">
        <v>240</v>
      </c>
      <c r="J531" s="1" t="s">
        <v>540</v>
      </c>
      <c r="K531" t="str">
        <f t="shared" si="8"/>
        <v>Non-Expired</v>
      </c>
    </row>
    <row r="532" spans="1:11" x14ac:dyDescent="0.3">
      <c r="A532" s="3">
        <v>45872</v>
      </c>
      <c r="B532" t="s">
        <v>90</v>
      </c>
      <c r="C532" t="s">
        <v>180</v>
      </c>
      <c r="D532">
        <v>4</v>
      </c>
      <c r="E532" t="s">
        <v>25</v>
      </c>
      <c r="F532" t="s">
        <v>26</v>
      </c>
      <c r="G532" t="s">
        <v>389</v>
      </c>
      <c r="H532" s="1">
        <v>45931</v>
      </c>
      <c r="I532">
        <v>12</v>
      </c>
      <c r="J532" s="1" t="s">
        <v>540</v>
      </c>
      <c r="K532" t="str">
        <f t="shared" si="8"/>
        <v>Non-Expired</v>
      </c>
    </row>
    <row r="533" spans="1:11" x14ac:dyDescent="0.3">
      <c r="A533" s="3">
        <v>45872</v>
      </c>
      <c r="B533" t="s">
        <v>97</v>
      </c>
      <c r="C533" t="s">
        <v>66</v>
      </c>
      <c r="D533">
        <v>2</v>
      </c>
      <c r="E533" t="s">
        <v>28</v>
      </c>
      <c r="F533" t="s">
        <v>29</v>
      </c>
      <c r="G533" t="s">
        <v>390</v>
      </c>
      <c r="H533" s="1">
        <v>46419</v>
      </c>
      <c r="I533">
        <v>8</v>
      </c>
      <c r="J533" s="1" t="s">
        <v>540</v>
      </c>
      <c r="K533" t="str">
        <f t="shared" si="8"/>
        <v>Non-Expired</v>
      </c>
    </row>
    <row r="534" spans="1:11" x14ac:dyDescent="0.3">
      <c r="A534" s="3">
        <v>45872</v>
      </c>
      <c r="B534" t="s">
        <v>39</v>
      </c>
      <c r="C534" t="s">
        <v>19</v>
      </c>
      <c r="D534">
        <v>11</v>
      </c>
      <c r="E534" t="s">
        <v>33</v>
      </c>
      <c r="F534" t="s">
        <v>34</v>
      </c>
      <c r="G534" t="s">
        <v>86</v>
      </c>
      <c r="H534" s="1">
        <v>46266</v>
      </c>
      <c r="I534">
        <v>55</v>
      </c>
      <c r="J534" s="1" t="s">
        <v>540</v>
      </c>
      <c r="K534" t="str">
        <f t="shared" si="8"/>
        <v>Non-Expired</v>
      </c>
    </row>
    <row r="535" spans="1:11" x14ac:dyDescent="0.3">
      <c r="A535" s="3">
        <v>45872</v>
      </c>
      <c r="B535" t="s">
        <v>65</v>
      </c>
      <c r="C535" t="s">
        <v>40</v>
      </c>
      <c r="D535">
        <v>19</v>
      </c>
      <c r="E535" t="s">
        <v>36</v>
      </c>
      <c r="F535" t="s">
        <v>37</v>
      </c>
      <c r="G535" t="s">
        <v>304</v>
      </c>
      <c r="H535" s="1">
        <v>46082</v>
      </c>
      <c r="I535">
        <v>114</v>
      </c>
      <c r="J535" s="1" t="s">
        <v>540</v>
      </c>
      <c r="K535" t="str">
        <f t="shared" si="8"/>
        <v>Non-Expired</v>
      </c>
    </row>
    <row r="536" spans="1:11" x14ac:dyDescent="0.3">
      <c r="A536" s="3">
        <v>45872</v>
      </c>
      <c r="B536" t="s">
        <v>47</v>
      </c>
      <c r="C536" t="s">
        <v>162</v>
      </c>
      <c r="D536">
        <v>4</v>
      </c>
      <c r="E536" t="s">
        <v>41</v>
      </c>
      <c r="F536" t="s">
        <v>12</v>
      </c>
      <c r="G536" t="s">
        <v>238</v>
      </c>
      <c r="H536" s="1">
        <v>46692</v>
      </c>
      <c r="I536">
        <v>16</v>
      </c>
      <c r="J536" s="1" t="s">
        <v>540</v>
      </c>
      <c r="K536" t="str">
        <f t="shared" si="8"/>
        <v>Non-Expired</v>
      </c>
    </row>
    <row r="537" spans="1:11" x14ac:dyDescent="0.3">
      <c r="A537" s="3">
        <v>45872</v>
      </c>
      <c r="B537" t="s">
        <v>9</v>
      </c>
      <c r="C537" t="s">
        <v>40</v>
      </c>
      <c r="D537">
        <v>14</v>
      </c>
      <c r="E537" t="s">
        <v>45</v>
      </c>
      <c r="F537" t="s">
        <v>16</v>
      </c>
      <c r="G537" t="s">
        <v>46</v>
      </c>
      <c r="H537" s="1">
        <v>46143</v>
      </c>
      <c r="I537">
        <v>140</v>
      </c>
      <c r="J537" s="1" t="s">
        <v>540</v>
      </c>
      <c r="K537" t="str">
        <f t="shared" si="8"/>
        <v>Non-Expired</v>
      </c>
    </row>
    <row r="538" spans="1:11" x14ac:dyDescent="0.3">
      <c r="A538" s="3">
        <v>45903</v>
      </c>
      <c r="B538" t="s">
        <v>9</v>
      </c>
      <c r="C538" t="s">
        <v>14</v>
      </c>
      <c r="D538">
        <v>11</v>
      </c>
      <c r="E538" t="s">
        <v>49</v>
      </c>
      <c r="F538" t="s">
        <v>50</v>
      </c>
      <c r="G538" t="s">
        <v>391</v>
      </c>
      <c r="H538" s="1">
        <v>45383</v>
      </c>
      <c r="I538">
        <v>55</v>
      </c>
      <c r="J538" s="1" t="s">
        <v>540</v>
      </c>
      <c r="K538" t="str">
        <f t="shared" si="8"/>
        <v>Expired</v>
      </c>
    </row>
    <row r="539" spans="1:11" x14ac:dyDescent="0.3">
      <c r="A539" s="3">
        <v>45903</v>
      </c>
      <c r="B539" t="s">
        <v>90</v>
      </c>
      <c r="C539" t="s">
        <v>83</v>
      </c>
      <c r="D539">
        <v>27</v>
      </c>
      <c r="E539" t="s">
        <v>52</v>
      </c>
      <c r="F539" t="s">
        <v>53</v>
      </c>
      <c r="G539" t="s">
        <v>392</v>
      </c>
      <c r="H539" s="1">
        <v>45505</v>
      </c>
      <c r="I539">
        <v>54</v>
      </c>
      <c r="J539" s="1" t="s">
        <v>540</v>
      </c>
      <c r="K539" t="str">
        <f t="shared" si="8"/>
        <v>Expired</v>
      </c>
    </row>
    <row r="540" spans="1:11" x14ac:dyDescent="0.3">
      <c r="A540" s="3">
        <v>45903</v>
      </c>
      <c r="B540" t="s">
        <v>43</v>
      </c>
      <c r="C540" t="s">
        <v>162</v>
      </c>
      <c r="D540">
        <v>27</v>
      </c>
      <c r="E540" t="s">
        <v>56</v>
      </c>
      <c r="F540" t="s">
        <v>53</v>
      </c>
      <c r="G540" t="s">
        <v>138</v>
      </c>
      <c r="H540" s="1">
        <v>46357</v>
      </c>
      <c r="I540">
        <v>270</v>
      </c>
      <c r="J540" s="1" t="s">
        <v>540</v>
      </c>
      <c r="K540" t="str">
        <f t="shared" si="8"/>
        <v>Non-Expired</v>
      </c>
    </row>
    <row r="541" spans="1:11" x14ac:dyDescent="0.3">
      <c r="A541" s="3">
        <v>45903</v>
      </c>
      <c r="B541" t="s">
        <v>31</v>
      </c>
      <c r="C541" t="s">
        <v>139</v>
      </c>
      <c r="D541">
        <v>6</v>
      </c>
      <c r="E541" t="s">
        <v>60</v>
      </c>
      <c r="F541" t="s">
        <v>61</v>
      </c>
      <c r="G541" t="s">
        <v>393</v>
      </c>
      <c r="H541" s="1">
        <v>46569</v>
      </c>
      <c r="I541">
        <v>720</v>
      </c>
      <c r="J541" s="1" t="s">
        <v>540</v>
      </c>
      <c r="K541" t="str">
        <f t="shared" si="8"/>
        <v>Non-Expired</v>
      </c>
    </row>
    <row r="542" spans="1:11" x14ac:dyDescent="0.3">
      <c r="A542" s="3">
        <v>45903</v>
      </c>
      <c r="B542" t="s">
        <v>58</v>
      </c>
      <c r="C542" t="s">
        <v>112</v>
      </c>
      <c r="D542">
        <v>5</v>
      </c>
      <c r="E542" t="s">
        <v>63</v>
      </c>
      <c r="F542" t="s">
        <v>50</v>
      </c>
      <c r="G542" t="s">
        <v>394</v>
      </c>
      <c r="H542" s="1">
        <v>46631</v>
      </c>
      <c r="I542">
        <v>100</v>
      </c>
      <c r="J542" s="1" t="s">
        <v>540</v>
      </c>
      <c r="K542" t="str">
        <f t="shared" si="8"/>
        <v>Non-Expired</v>
      </c>
    </row>
    <row r="543" spans="1:11" x14ac:dyDescent="0.3">
      <c r="A543" s="3">
        <v>45903</v>
      </c>
      <c r="B543" t="s">
        <v>9</v>
      </c>
      <c r="C543" t="s">
        <v>128</v>
      </c>
      <c r="D543">
        <v>6</v>
      </c>
      <c r="E543" t="s">
        <v>67</v>
      </c>
      <c r="F543" t="s">
        <v>68</v>
      </c>
      <c r="G543" t="s">
        <v>395</v>
      </c>
      <c r="H543" s="1">
        <v>46204</v>
      </c>
      <c r="I543">
        <v>180</v>
      </c>
      <c r="J543" s="1" t="s">
        <v>540</v>
      </c>
      <c r="K543" t="str">
        <f t="shared" si="8"/>
        <v>Non-Expired</v>
      </c>
    </row>
    <row r="544" spans="1:11" x14ac:dyDescent="0.3">
      <c r="A544" s="3">
        <v>45903</v>
      </c>
      <c r="B544" t="s">
        <v>85</v>
      </c>
      <c r="C544" t="s">
        <v>24</v>
      </c>
      <c r="D544">
        <v>15</v>
      </c>
      <c r="E544" t="s">
        <v>71</v>
      </c>
      <c r="F544" t="s">
        <v>72</v>
      </c>
      <c r="G544" t="s">
        <v>219</v>
      </c>
      <c r="H544" s="1">
        <v>46143</v>
      </c>
      <c r="I544">
        <v>600</v>
      </c>
      <c r="J544" s="1" t="s">
        <v>540</v>
      </c>
      <c r="K544" t="str">
        <f t="shared" si="8"/>
        <v>Non-Expired</v>
      </c>
    </row>
    <row r="545" spans="1:11" x14ac:dyDescent="0.3">
      <c r="A545" s="3">
        <v>45903</v>
      </c>
      <c r="B545" t="s">
        <v>18</v>
      </c>
      <c r="C545" t="s">
        <v>214</v>
      </c>
      <c r="D545">
        <v>1</v>
      </c>
      <c r="E545" t="s">
        <v>75</v>
      </c>
      <c r="F545" t="s">
        <v>16</v>
      </c>
      <c r="G545" t="s">
        <v>191</v>
      </c>
      <c r="H545" s="1">
        <v>45383</v>
      </c>
      <c r="I545">
        <v>50</v>
      </c>
      <c r="J545" s="1" t="s">
        <v>540</v>
      </c>
      <c r="K545" t="str">
        <f t="shared" si="8"/>
        <v>Expired</v>
      </c>
    </row>
    <row r="546" spans="1:11" x14ac:dyDescent="0.3">
      <c r="A546" s="3">
        <v>45933</v>
      </c>
      <c r="B546" t="s">
        <v>92</v>
      </c>
      <c r="C546" t="s">
        <v>99</v>
      </c>
      <c r="D546">
        <v>20</v>
      </c>
      <c r="E546" t="s">
        <v>11</v>
      </c>
      <c r="F546" t="s">
        <v>12</v>
      </c>
      <c r="G546" t="s">
        <v>177</v>
      </c>
      <c r="H546" s="1">
        <v>45292</v>
      </c>
      <c r="I546">
        <v>40</v>
      </c>
      <c r="J546" s="1" t="s">
        <v>540</v>
      </c>
      <c r="K546" t="str">
        <f t="shared" si="8"/>
        <v>Expired</v>
      </c>
    </row>
    <row r="547" spans="1:11" x14ac:dyDescent="0.3">
      <c r="A547" s="3">
        <v>45933</v>
      </c>
      <c r="B547" t="s">
        <v>90</v>
      </c>
      <c r="C547" t="s">
        <v>48</v>
      </c>
      <c r="D547">
        <v>25</v>
      </c>
      <c r="E547" t="s">
        <v>15</v>
      </c>
      <c r="F547" t="s">
        <v>16</v>
      </c>
      <c r="G547" t="s">
        <v>193</v>
      </c>
      <c r="H547" s="1">
        <v>46692</v>
      </c>
      <c r="I547">
        <v>75</v>
      </c>
      <c r="J547" s="1" t="s">
        <v>540</v>
      </c>
      <c r="K547" t="str">
        <f t="shared" si="8"/>
        <v>Non-Expired</v>
      </c>
    </row>
    <row r="548" spans="1:11" x14ac:dyDescent="0.3">
      <c r="A548" s="3">
        <v>45933</v>
      </c>
      <c r="B548" t="s">
        <v>39</v>
      </c>
      <c r="C548" t="s">
        <v>24</v>
      </c>
      <c r="D548">
        <v>24</v>
      </c>
      <c r="E548" t="s">
        <v>20</v>
      </c>
      <c r="F548" t="s">
        <v>21</v>
      </c>
      <c r="G548" t="s">
        <v>146</v>
      </c>
      <c r="H548" s="1">
        <v>46569</v>
      </c>
      <c r="I548">
        <v>192</v>
      </c>
      <c r="J548" s="1" t="s">
        <v>540</v>
      </c>
      <c r="K548" t="str">
        <f t="shared" si="8"/>
        <v>Non-Expired</v>
      </c>
    </row>
    <row r="549" spans="1:11" x14ac:dyDescent="0.3">
      <c r="A549" s="3">
        <v>45933</v>
      </c>
      <c r="B549" t="s">
        <v>9</v>
      </c>
      <c r="C549" t="s">
        <v>101</v>
      </c>
      <c r="D549">
        <v>25</v>
      </c>
      <c r="E549" t="s">
        <v>25</v>
      </c>
      <c r="F549" t="s">
        <v>26</v>
      </c>
      <c r="G549" t="s">
        <v>224</v>
      </c>
      <c r="H549" s="1">
        <v>46054</v>
      </c>
      <c r="I549">
        <v>75</v>
      </c>
      <c r="J549" s="1" t="s">
        <v>540</v>
      </c>
      <c r="K549" t="str">
        <f t="shared" si="8"/>
        <v>Non-Expired</v>
      </c>
    </row>
    <row r="550" spans="1:11" x14ac:dyDescent="0.3">
      <c r="A550" s="3">
        <v>45933</v>
      </c>
      <c r="B550" t="s">
        <v>39</v>
      </c>
      <c r="C550" t="s">
        <v>103</v>
      </c>
      <c r="D550">
        <v>22</v>
      </c>
      <c r="E550" t="s">
        <v>28</v>
      </c>
      <c r="F550" t="s">
        <v>29</v>
      </c>
      <c r="G550" t="s">
        <v>278</v>
      </c>
      <c r="H550" s="1">
        <v>46419</v>
      </c>
      <c r="I550">
        <v>88</v>
      </c>
      <c r="J550" s="1" t="s">
        <v>540</v>
      </c>
      <c r="K550" t="str">
        <f t="shared" si="8"/>
        <v>Non-Expired</v>
      </c>
    </row>
    <row r="551" spans="1:11" x14ac:dyDescent="0.3">
      <c r="A551" s="3">
        <v>45933</v>
      </c>
      <c r="B551" t="s">
        <v>9</v>
      </c>
      <c r="C551" t="s">
        <v>170</v>
      </c>
      <c r="D551">
        <v>10</v>
      </c>
      <c r="E551" t="s">
        <v>33</v>
      </c>
      <c r="F551" t="s">
        <v>34</v>
      </c>
      <c r="G551" t="s">
        <v>288</v>
      </c>
      <c r="H551" s="1">
        <v>46478</v>
      </c>
      <c r="I551">
        <v>50</v>
      </c>
      <c r="J551" s="1" t="s">
        <v>540</v>
      </c>
      <c r="K551" t="str">
        <f t="shared" si="8"/>
        <v>Non-Expired</v>
      </c>
    </row>
    <row r="552" spans="1:11" x14ac:dyDescent="0.3">
      <c r="A552" s="3">
        <v>45933</v>
      </c>
      <c r="B552" t="s">
        <v>9</v>
      </c>
      <c r="C552" t="s">
        <v>103</v>
      </c>
      <c r="D552">
        <v>29</v>
      </c>
      <c r="E552" t="s">
        <v>36</v>
      </c>
      <c r="F552" t="s">
        <v>37</v>
      </c>
      <c r="G552" t="s">
        <v>182</v>
      </c>
      <c r="H552" s="1">
        <v>45566</v>
      </c>
      <c r="I552">
        <v>174</v>
      </c>
      <c r="J552" s="1" t="s">
        <v>540</v>
      </c>
      <c r="K552" t="str">
        <f t="shared" si="8"/>
        <v>Expired</v>
      </c>
    </row>
    <row r="553" spans="1:11" x14ac:dyDescent="0.3">
      <c r="A553" s="3">
        <v>45933</v>
      </c>
      <c r="B553" t="s">
        <v>9</v>
      </c>
      <c r="C553" t="s">
        <v>103</v>
      </c>
      <c r="D553">
        <v>23</v>
      </c>
      <c r="E553" t="s">
        <v>41</v>
      </c>
      <c r="F553" t="s">
        <v>12</v>
      </c>
      <c r="G553" t="s">
        <v>396</v>
      </c>
      <c r="H553" s="1">
        <v>46753</v>
      </c>
      <c r="I553">
        <v>92</v>
      </c>
      <c r="J553" s="1" t="s">
        <v>540</v>
      </c>
      <c r="K553" t="str">
        <f t="shared" si="8"/>
        <v>Non-Expired</v>
      </c>
    </row>
    <row r="554" spans="1:11" x14ac:dyDescent="0.3">
      <c r="A554" s="3">
        <v>45964</v>
      </c>
      <c r="B554" t="s">
        <v>97</v>
      </c>
      <c r="C554" t="s">
        <v>59</v>
      </c>
      <c r="D554">
        <v>12</v>
      </c>
      <c r="E554" t="s">
        <v>45</v>
      </c>
      <c r="F554" t="s">
        <v>16</v>
      </c>
      <c r="G554" t="s">
        <v>397</v>
      </c>
      <c r="H554" s="1">
        <v>46539</v>
      </c>
      <c r="I554">
        <v>120</v>
      </c>
      <c r="J554" s="1" t="s">
        <v>540</v>
      </c>
      <c r="K554" t="str">
        <f t="shared" si="8"/>
        <v>Non-Expired</v>
      </c>
    </row>
    <row r="555" spans="1:11" x14ac:dyDescent="0.3">
      <c r="A555" s="3">
        <v>45964</v>
      </c>
      <c r="B555" t="s">
        <v>43</v>
      </c>
      <c r="C555" t="s">
        <v>154</v>
      </c>
      <c r="D555">
        <v>10</v>
      </c>
      <c r="E555" t="s">
        <v>49</v>
      </c>
      <c r="F555" t="s">
        <v>50</v>
      </c>
      <c r="G555" t="s">
        <v>136</v>
      </c>
      <c r="H555" s="1">
        <v>46266</v>
      </c>
      <c r="I555">
        <v>50</v>
      </c>
      <c r="J555" s="1" t="s">
        <v>540</v>
      </c>
      <c r="K555" t="str">
        <f t="shared" si="8"/>
        <v>Non-Expired</v>
      </c>
    </row>
    <row r="556" spans="1:11" x14ac:dyDescent="0.3">
      <c r="A556" s="3">
        <v>45964</v>
      </c>
      <c r="B556" t="s">
        <v>85</v>
      </c>
      <c r="C556" t="s">
        <v>203</v>
      </c>
      <c r="D556">
        <v>5</v>
      </c>
      <c r="E556" t="s">
        <v>52</v>
      </c>
      <c r="F556" t="s">
        <v>53</v>
      </c>
      <c r="G556" t="s">
        <v>321</v>
      </c>
      <c r="H556" s="1">
        <v>46753</v>
      </c>
      <c r="I556">
        <v>10</v>
      </c>
      <c r="J556" s="1" t="s">
        <v>540</v>
      </c>
      <c r="K556" t="str">
        <f t="shared" si="8"/>
        <v>Non-Expired</v>
      </c>
    </row>
    <row r="557" spans="1:11" x14ac:dyDescent="0.3">
      <c r="A557" s="3">
        <v>45964</v>
      </c>
      <c r="B557" t="s">
        <v>9</v>
      </c>
      <c r="C557" t="s">
        <v>162</v>
      </c>
      <c r="D557">
        <v>25</v>
      </c>
      <c r="E557" t="s">
        <v>56</v>
      </c>
      <c r="F557" t="s">
        <v>53</v>
      </c>
      <c r="G557" t="s">
        <v>274</v>
      </c>
      <c r="H557" s="1">
        <v>46600</v>
      </c>
      <c r="I557">
        <v>250</v>
      </c>
      <c r="J557" s="1" t="s">
        <v>540</v>
      </c>
      <c r="K557" t="str">
        <f t="shared" si="8"/>
        <v>Non-Expired</v>
      </c>
    </row>
    <row r="558" spans="1:11" x14ac:dyDescent="0.3">
      <c r="A558" s="3">
        <v>45964</v>
      </c>
      <c r="B558" t="s">
        <v>58</v>
      </c>
      <c r="C558" t="s">
        <v>66</v>
      </c>
      <c r="D558">
        <v>1</v>
      </c>
      <c r="E558" t="s">
        <v>60</v>
      </c>
      <c r="F558" t="s">
        <v>61</v>
      </c>
      <c r="G558" t="s">
        <v>338</v>
      </c>
      <c r="H558" s="1">
        <v>45474</v>
      </c>
      <c r="I558">
        <v>120</v>
      </c>
      <c r="J558" s="1" t="s">
        <v>540</v>
      </c>
      <c r="K558" t="str">
        <f t="shared" si="8"/>
        <v>Expired</v>
      </c>
    </row>
    <row r="559" spans="1:11" x14ac:dyDescent="0.3">
      <c r="A559" s="3">
        <v>45964</v>
      </c>
      <c r="B559" t="s">
        <v>80</v>
      </c>
      <c r="C559" t="s">
        <v>88</v>
      </c>
      <c r="D559">
        <v>22</v>
      </c>
      <c r="E559" t="s">
        <v>63</v>
      </c>
      <c r="F559" t="s">
        <v>50</v>
      </c>
      <c r="G559" t="s">
        <v>398</v>
      </c>
      <c r="H559" s="1">
        <v>45352</v>
      </c>
      <c r="I559">
        <v>440</v>
      </c>
      <c r="J559" s="1" t="s">
        <v>540</v>
      </c>
      <c r="K559" t="str">
        <f t="shared" si="8"/>
        <v>Expired</v>
      </c>
    </row>
    <row r="560" spans="1:11" x14ac:dyDescent="0.3">
      <c r="A560" s="3">
        <v>45964</v>
      </c>
      <c r="B560" t="s">
        <v>31</v>
      </c>
      <c r="C560" t="s">
        <v>55</v>
      </c>
      <c r="D560">
        <v>3</v>
      </c>
      <c r="E560" t="s">
        <v>67</v>
      </c>
      <c r="F560" t="s">
        <v>68</v>
      </c>
      <c r="G560" t="s">
        <v>316</v>
      </c>
      <c r="H560" s="1">
        <v>46692</v>
      </c>
      <c r="I560">
        <v>90</v>
      </c>
      <c r="J560" s="1" t="s">
        <v>540</v>
      </c>
      <c r="K560" t="str">
        <f t="shared" si="8"/>
        <v>Non-Expired</v>
      </c>
    </row>
    <row r="561" spans="1:11" x14ac:dyDescent="0.3">
      <c r="A561" s="3">
        <v>45964</v>
      </c>
      <c r="B561" t="s">
        <v>31</v>
      </c>
      <c r="C561" t="s">
        <v>32</v>
      </c>
      <c r="D561">
        <v>6</v>
      </c>
      <c r="E561" t="s">
        <v>71</v>
      </c>
      <c r="F561" t="s">
        <v>72</v>
      </c>
      <c r="G561" t="s">
        <v>399</v>
      </c>
      <c r="H561" s="1">
        <v>46235</v>
      </c>
      <c r="I561">
        <v>240</v>
      </c>
      <c r="J561" s="1" t="s">
        <v>540</v>
      </c>
      <c r="K561" t="str">
        <f t="shared" si="8"/>
        <v>Non-Expired</v>
      </c>
    </row>
    <row r="562" spans="1:11" x14ac:dyDescent="0.3">
      <c r="A562" s="3">
        <v>45994</v>
      </c>
      <c r="B562" t="s">
        <v>65</v>
      </c>
      <c r="C562" t="s">
        <v>125</v>
      </c>
      <c r="D562">
        <v>22</v>
      </c>
      <c r="E562" t="s">
        <v>75</v>
      </c>
      <c r="F562" t="s">
        <v>16</v>
      </c>
      <c r="G562" t="s">
        <v>387</v>
      </c>
      <c r="H562" s="1">
        <v>46174</v>
      </c>
      <c r="I562">
        <v>1100</v>
      </c>
      <c r="J562" s="1" t="s">
        <v>540</v>
      </c>
      <c r="K562" t="str">
        <f t="shared" si="8"/>
        <v>Non-Expired</v>
      </c>
    </row>
    <row r="563" spans="1:11" x14ac:dyDescent="0.3">
      <c r="A563" s="3">
        <v>45994</v>
      </c>
      <c r="B563" t="s">
        <v>39</v>
      </c>
      <c r="C563" t="s">
        <v>32</v>
      </c>
      <c r="D563">
        <v>22</v>
      </c>
      <c r="E563" t="s">
        <v>11</v>
      </c>
      <c r="F563" t="s">
        <v>12</v>
      </c>
      <c r="G563" t="s">
        <v>359</v>
      </c>
      <c r="H563" s="1">
        <v>46143</v>
      </c>
      <c r="I563">
        <v>44</v>
      </c>
      <c r="J563" s="1" t="s">
        <v>540</v>
      </c>
      <c r="K563" t="str">
        <f t="shared" si="8"/>
        <v>Non-Expired</v>
      </c>
    </row>
    <row r="564" spans="1:11" x14ac:dyDescent="0.3">
      <c r="A564" s="3">
        <v>45994</v>
      </c>
      <c r="B564" t="s">
        <v>23</v>
      </c>
      <c r="C564" t="s">
        <v>112</v>
      </c>
      <c r="D564">
        <v>13</v>
      </c>
      <c r="E564" t="s">
        <v>15</v>
      </c>
      <c r="F564" t="s">
        <v>16</v>
      </c>
      <c r="G564" t="s">
        <v>400</v>
      </c>
      <c r="H564" s="1">
        <v>46753</v>
      </c>
      <c r="I564">
        <v>39</v>
      </c>
      <c r="J564" s="1" t="s">
        <v>540</v>
      </c>
      <c r="K564" t="str">
        <f t="shared" si="8"/>
        <v>Non-Expired</v>
      </c>
    </row>
    <row r="565" spans="1:11" x14ac:dyDescent="0.3">
      <c r="A565" s="3">
        <v>45994</v>
      </c>
      <c r="B565" t="s">
        <v>9</v>
      </c>
      <c r="C565" t="s">
        <v>32</v>
      </c>
      <c r="D565">
        <v>26</v>
      </c>
      <c r="E565" t="s">
        <v>20</v>
      </c>
      <c r="F565" t="s">
        <v>21</v>
      </c>
      <c r="G565" t="s">
        <v>146</v>
      </c>
      <c r="H565" s="1">
        <v>45413</v>
      </c>
      <c r="I565">
        <v>208</v>
      </c>
      <c r="J565" s="1" t="s">
        <v>540</v>
      </c>
      <c r="K565" t="str">
        <f t="shared" si="8"/>
        <v>Expired</v>
      </c>
    </row>
    <row r="566" spans="1:11" x14ac:dyDescent="0.3">
      <c r="A566" s="3">
        <v>45994</v>
      </c>
      <c r="B566" t="s">
        <v>80</v>
      </c>
      <c r="C566" t="s">
        <v>128</v>
      </c>
      <c r="D566">
        <v>23</v>
      </c>
      <c r="E566" t="s">
        <v>25</v>
      </c>
      <c r="F566" t="s">
        <v>26</v>
      </c>
      <c r="G566" t="s">
        <v>349</v>
      </c>
      <c r="H566" s="1">
        <v>46266</v>
      </c>
      <c r="I566">
        <v>69</v>
      </c>
      <c r="J566" s="1" t="s">
        <v>540</v>
      </c>
      <c r="K566" t="str">
        <f t="shared" si="8"/>
        <v>Non-Expired</v>
      </c>
    </row>
    <row r="567" spans="1:11" x14ac:dyDescent="0.3">
      <c r="A567" s="3">
        <v>45994</v>
      </c>
      <c r="B567" t="s">
        <v>9</v>
      </c>
      <c r="C567" t="s">
        <v>128</v>
      </c>
      <c r="D567">
        <v>17</v>
      </c>
      <c r="E567" t="s">
        <v>28</v>
      </c>
      <c r="F567" t="s">
        <v>29</v>
      </c>
      <c r="G567" t="s">
        <v>196</v>
      </c>
      <c r="H567" s="1">
        <v>46235</v>
      </c>
      <c r="I567">
        <v>68</v>
      </c>
      <c r="J567" s="1" t="s">
        <v>540</v>
      </c>
      <c r="K567" t="str">
        <f t="shared" si="8"/>
        <v>Non-Expired</v>
      </c>
    </row>
    <row r="568" spans="1:11" x14ac:dyDescent="0.3">
      <c r="A568" s="3">
        <v>45994</v>
      </c>
      <c r="B568" t="s">
        <v>43</v>
      </c>
      <c r="C568" t="s">
        <v>40</v>
      </c>
      <c r="D568">
        <v>19</v>
      </c>
      <c r="E568" t="s">
        <v>33</v>
      </c>
      <c r="F568" t="s">
        <v>34</v>
      </c>
      <c r="G568" t="s">
        <v>401</v>
      </c>
      <c r="H568" s="1">
        <v>46174</v>
      </c>
      <c r="I568">
        <v>95</v>
      </c>
      <c r="J568" s="1" t="s">
        <v>540</v>
      </c>
      <c r="K568" t="str">
        <f t="shared" si="8"/>
        <v>Non-Expired</v>
      </c>
    </row>
    <row r="569" spans="1:11" x14ac:dyDescent="0.3">
      <c r="A569" s="3">
        <v>45994</v>
      </c>
      <c r="B569" t="s">
        <v>85</v>
      </c>
      <c r="C569" t="s">
        <v>180</v>
      </c>
      <c r="D569">
        <v>12</v>
      </c>
      <c r="E569" t="s">
        <v>36</v>
      </c>
      <c r="F569" t="s">
        <v>37</v>
      </c>
      <c r="G569" t="s">
        <v>87</v>
      </c>
      <c r="H569" s="1">
        <v>45292</v>
      </c>
      <c r="I569">
        <v>72</v>
      </c>
      <c r="J569" s="1" t="s">
        <v>540</v>
      </c>
      <c r="K569" t="str">
        <f t="shared" si="8"/>
        <v>Expired</v>
      </c>
    </row>
    <row r="570" spans="1:11" x14ac:dyDescent="0.3">
      <c r="A570" s="3" t="s">
        <v>462</v>
      </c>
      <c r="B570" t="s">
        <v>65</v>
      </c>
      <c r="C570" t="s">
        <v>101</v>
      </c>
      <c r="D570">
        <v>27</v>
      </c>
      <c r="E570" t="s">
        <v>41</v>
      </c>
      <c r="F570" t="s">
        <v>12</v>
      </c>
      <c r="G570" t="s">
        <v>334</v>
      </c>
      <c r="H570" s="1">
        <v>46478</v>
      </c>
      <c r="I570">
        <v>108</v>
      </c>
      <c r="J570" s="1" t="s">
        <v>540</v>
      </c>
      <c r="K570" t="str">
        <f t="shared" si="8"/>
        <v>Non-Expired</v>
      </c>
    </row>
    <row r="571" spans="1:11" x14ac:dyDescent="0.3">
      <c r="A571" s="3" t="s">
        <v>462</v>
      </c>
      <c r="B571" t="s">
        <v>31</v>
      </c>
      <c r="C571" t="s">
        <v>55</v>
      </c>
      <c r="D571">
        <v>7</v>
      </c>
      <c r="E571" t="s">
        <v>45</v>
      </c>
      <c r="F571" t="s">
        <v>16</v>
      </c>
      <c r="G571" t="s">
        <v>135</v>
      </c>
      <c r="H571" s="1">
        <v>46357</v>
      </c>
      <c r="I571">
        <v>70</v>
      </c>
      <c r="J571" s="1" t="s">
        <v>540</v>
      </c>
      <c r="K571" t="str">
        <f t="shared" si="8"/>
        <v>Non-Expired</v>
      </c>
    </row>
    <row r="572" spans="1:11" x14ac:dyDescent="0.3">
      <c r="A572" s="3" t="s">
        <v>462</v>
      </c>
      <c r="B572" t="s">
        <v>9</v>
      </c>
      <c r="C572" t="s">
        <v>107</v>
      </c>
      <c r="D572">
        <v>13</v>
      </c>
      <c r="E572" t="s">
        <v>49</v>
      </c>
      <c r="F572" t="s">
        <v>50</v>
      </c>
      <c r="G572" t="s">
        <v>115</v>
      </c>
      <c r="H572" s="1">
        <v>46631</v>
      </c>
      <c r="I572">
        <v>65</v>
      </c>
      <c r="J572" s="1" t="s">
        <v>540</v>
      </c>
      <c r="K572" t="str">
        <f t="shared" si="8"/>
        <v>Non-Expired</v>
      </c>
    </row>
    <row r="573" spans="1:11" x14ac:dyDescent="0.3">
      <c r="A573" s="3" t="s">
        <v>462</v>
      </c>
      <c r="B573" t="s">
        <v>9</v>
      </c>
      <c r="C573" t="s">
        <v>125</v>
      </c>
      <c r="D573">
        <v>30</v>
      </c>
      <c r="E573" t="s">
        <v>52</v>
      </c>
      <c r="F573" t="s">
        <v>53</v>
      </c>
      <c r="G573" t="s">
        <v>155</v>
      </c>
      <c r="H573" s="1">
        <v>45444</v>
      </c>
      <c r="I573">
        <v>60</v>
      </c>
      <c r="J573" s="1" t="s">
        <v>540</v>
      </c>
      <c r="K573" t="str">
        <f t="shared" si="8"/>
        <v>Expired</v>
      </c>
    </row>
    <row r="574" spans="1:11" x14ac:dyDescent="0.3">
      <c r="A574" s="3" t="s">
        <v>462</v>
      </c>
      <c r="B574" t="s">
        <v>65</v>
      </c>
      <c r="C574" t="s">
        <v>32</v>
      </c>
      <c r="D574">
        <v>1</v>
      </c>
      <c r="E574" t="s">
        <v>56</v>
      </c>
      <c r="F574" t="s">
        <v>53</v>
      </c>
      <c r="G574" t="s">
        <v>240</v>
      </c>
      <c r="H574" s="1">
        <v>46631</v>
      </c>
      <c r="I574">
        <v>10</v>
      </c>
      <c r="J574" s="1" t="s">
        <v>540</v>
      </c>
      <c r="K574" t="str">
        <f t="shared" si="8"/>
        <v>Non-Expired</v>
      </c>
    </row>
    <row r="575" spans="1:11" x14ac:dyDescent="0.3">
      <c r="A575" s="3" t="s">
        <v>462</v>
      </c>
      <c r="B575" t="s">
        <v>90</v>
      </c>
      <c r="C575" t="s">
        <v>214</v>
      </c>
      <c r="D575">
        <v>19</v>
      </c>
      <c r="E575" t="s">
        <v>60</v>
      </c>
      <c r="F575" t="s">
        <v>61</v>
      </c>
      <c r="G575" t="s">
        <v>328</v>
      </c>
      <c r="H575" s="1">
        <v>46784</v>
      </c>
      <c r="I575">
        <v>2280</v>
      </c>
      <c r="J575" s="1" t="s">
        <v>540</v>
      </c>
      <c r="K575" t="str">
        <f t="shared" si="8"/>
        <v>Non-Expired</v>
      </c>
    </row>
    <row r="576" spans="1:11" x14ac:dyDescent="0.3">
      <c r="A576" s="3" t="s">
        <v>462</v>
      </c>
      <c r="B576" t="s">
        <v>47</v>
      </c>
      <c r="C576" t="s">
        <v>19</v>
      </c>
      <c r="D576">
        <v>4</v>
      </c>
      <c r="E576" t="s">
        <v>63</v>
      </c>
      <c r="F576" t="s">
        <v>50</v>
      </c>
      <c r="G576" t="s">
        <v>402</v>
      </c>
      <c r="H576" s="1">
        <v>46357</v>
      </c>
      <c r="I576">
        <v>80</v>
      </c>
      <c r="J576" s="1" t="s">
        <v>540</v>
      </c>
      <c r="K576" t="str">
        <f t="shared" si="8"/>
        <v>Non-Expired</v>
      </c>
    </row>
    <row r="577" spans="1:11" x14ac:dyDescent="0.3">
      <c r="A577" s="3" t="s">
        <v>462</v>
      </c>
      <c r="B577" t="s">
        <v>90</v>
      </c>
      <c r="C577" t="s">
        <v>131</v>
      </c>
      <c r="D577">
        <v>3</v>
      </c>
      <c r="E577" t="s">
        <v>67</v>
      </c>
      <c r="F577" t="s">
        <v>68</v>
      </c>
      <c r="G577" t="s">
        <v>254</v>
      </c>
      <c r="H577" s="1">
        <v>46508</v>
      </c>
      <c r="I577">
        <v>90</v>
      </c>
      <c r="J577" s="1" t="s">
        <v>540</v>
      </c>
      <c r="K577" t="str">
        <f t="shared" si="8"/>
        <v>Non-Expired</v>
      </c>
    </row>
    <row r="578" spans="1:11" x14ac:dyDescent="0.3">
      <c r="A578" s="3" t="s">
        <v>498</v>
      </c>
      <c r="B578" t="s">
        <v>90</v>
      </c>
      <c r="C578" t="s">
        <v>74</v>
      </c>
      <c r="D578">
        <v>12</v>
      </c>
      <c r="E578" t="s">
        <v>71</v>
      </c>
      <c r="F578" t="s">
        <v>72</v>
      </c>
      <c r="G578" t="s">
        <v>176</v>
      </c>
      <c r="H578" s="1">
        <v>46235</v>
      </c>
      <c r="I578">
        <v>480</v>
      </c>
      <c r="J578" s="1" t="s">
        <v>540</v>
      </c>
      <c r="K578" t="str">
        <f t="shared" si="8"/>
        <v>Non-Expired</v>
      </c>
    </row>
    <row r="579" spans="1:11" x14ac:dyDescent="0.3">
      <c r="A579" s="3" t="s">
        <v>498</v>
      </c>
      <c r="B579" t="s">
        <v>80</v>
      </c>
      <c r="C579" t="s">
        <v>149</v>
      </c>
      <c r="D579">
        <v>10</v>
      </c>
      <c r="E579" t="s">
        <v>75</v>
      </c>
      <c r="F579" t="s">
        <v>16</v>
      </c>
      <c r="G579" t="s">
        <v>403</v>
      </c>
      <c r="H579" s="1">
        <v>46204</v>
      </c>
      <c r="I579">
        <v>500</v>
      </c>
      <c r="J579" s="1" t="s">
        <v>540</v>
      </c>
      <c r="K579" t="str">
        <f t="shared" ref="K579:K642" si="9">IF(H579&lt;=DATE(2025,5,5),"Expired","Non-Expired")</f>
        <v>Non-Expired</v>
      </c>
    </row>
    <row r="580" spans="1:11" x14ac:dyDescent="0.3">
      <c r="A580" s="3" t="s">
        <v>498</v>
      </c>
      <c r="B580" t="s">
        <v>43</v>
      </c>
      <c r="C580" t="s">
        <v>128</v>
      </c>
      <c r="D580">
        <v>29</v>
      </c>
      <c r="E580" t="s">
        <v>11</v>
      </c>
      <c r="F580" t="s">
        <v>12</v>
      </c>
      <c r="G580" t="s">
        <v>161</v>
      </c>
      <c r="H580" s="1">
        <v>45597</v>
      </c>
      <c r="I580">
        <v>58</v>
      </c>
      <c r="J580" s="1" t="s">
        <v>540</v>
      </c>
      <c r="K580" t="str">
        <f t="shared" si="9"/>
        <v>Expired</v>
      </c>
    </row>
    <row r="581" spans="1:11" x14ac:dyDescent="0.3">
      <c r="A581" s="3" t="s">
        <v>498</v>
      </c>
      <c r="B581" t="s">
        <v>65</v>
      </c>
      <c r="C581" t="s">
        <v>180</v>
      </c>
      <c r="D581">
        <v>7</v>
      </c>
      <c r="E581" t="s">
        <v>15</v>
      </c>
      <c r="F581" t="s">
        <v>16</v>
      </c>
      <c r="G581" t="s">
        <v>404</v>
      </c>
      <c r="H581" s="1">
        <v>46692</v>
      </c>
      <c r="I581">
        <v>21</v>
      </c>
      <c r="J581" s="1" t="s">
        <v>540</v>
      </c>
      <c r="K581" t="str">
        <f t="shared" si="9"/>
        <v>Non-Expired</v>
      </c>
    </row>
    <row r="582" spans="1:11" x14ac:dyDescent="0.3">
      <c r="A582" s="3" t="s">
        <v>498</v>
      </c>
      <c r="B582" t="s">
        <v>18</v>
      </c>
      <c r="C582" t="s">
        <v>107</v>
      </c>
      <c r="D582">
        <v>9</v>
      </c>
      <c r="E582" t="s">
        <v>20</v>
      </c>
      <c r="F582" t="s">
        <v>21</v>
      </c>
      <c r="G582" t="s">
        <v>81</v>
      </c>
      <c r="H582" s="1">
        <v>46447</v>
      </c>
      <c r="I582">
        <v>72</v>
      </c>
      <c r="J582" s="1" t="s">
        <v>540</v>
      </c>
      <c r="K582" t="str">
        <f t="shared" si="9"/>
        <v>Non-Expired</v>
      </c>
    </row>
    <row r="583" spans="1:11" x14ac:dyDescent="0.3">
      <c r="A583" s="3" t="s">
        <v>498</v>
      </c>
      <c r="B583" t="s">
        <v>9</v>
      </c>
      <c r="C583" t="s">
        <v>59</v>
      </c>
      <c r="D583">
        <v>29</v>
      </c>
      <c r="E583" t="s">
        <v>25</v>
      </c>
      <c r="F583" t="s">
        <v>26</v>
      </c>
      <c r="G583" t="s">
        <v>27</v>
      </c>
      <c r="H583" s="1">
        <v>46631</v>
      </c>
      <c r="I583">
        <v>87</v>
      </c>
      <c r="J583" s="1" t="s">
        <v>540</v>
      </c>
      <c r="K583" t="str">
        <f t="shared" si="9"/>
        <v>Non-Expired</v>
      </c>
    </row>
    <row r="584" spans="1:11" x14ac:dyDescent="0.3">
      <c r="A584" s="3" t="s">
        <v>498</v>
      </c>
      <c r="B584" t="s">
        <v>9</v>
      </c>
      <c r="C584" t="s">
        <v>128</v>
      </c>
      <c r="D584">
        <v>3</v>
      </c>
      <c r="E584" t="s">
        <v>28</v>
      </c>
      <c r="F584" t="s">
        <v>29</v>
      </c>
      <c r="G584" t="s">
        <v>211</v>
      </c>
      <c r="H584" s="1">
        <v>46539</v>
      </c>
      <c r="I584">
        <v>12</v>
      </c>
      <c r="J584" s="1" t="s">
        <v>540</v>
      </c>
      <c r="K584" t="str">
        <f t="shared" si="9"/>
        <v>Non-Expired</v>
      </c>
    </row>
    <row r="585" spans="1:11" x14ac:dyDescent="0.3">
      <c r="A585" s="3" t="s">
        <v>498</v>
      </c>
      <c r="B585" t="s">
        <v>92</v>
      </c>
      <c r="C585" t="s">
        <v>78</v>
      </c>
      <c r="D585">
        <v>5</v>
      </c>
      <c r="E585" t="s">
        <v>33</v>
      </c>
      <c r="F585" t="s">
        <v>34</v>
      </c>
      <c r="G585" t="s">
        <v>405</v>
      </c>
      <c r="H585" s="1">
        <v>46631</v>
      </c>
      <c r="I585">
        <v>25</v>
      </c>
      <c r="J585" s="1" t="s">
        <v>540</v>
      </c>
      <c r="K585" t="str">
        <f t="shared" si="9"/>
        <v>Non-Expired</v>
      </c>
    </row>
    <row r="586" spans="1:11" x14ac:dyDescent="0.3">
      <c r="A586" s="3" t="s">
        <v>499</v>
      </c>
      <c r="B586" t="s">
        <v>9</v>
      </c>
      <c r="C586" t="s">
        <v>173</v>
      </c>
      <c r="D586">
        <v>19</v>
      </c>
      <c r="E586" t="s">
        <v>36</v>
      </c>
      <c r="F586" t="s">
        <v>37</v>
      </c>
      <c r="G586" t="s">
        <v>182</v>
      </c>
      <c r="H586" s="1">
        <v>46631</v>
      </c>
      <c r="I586">
        <v>114</v>
      </c>
      <c r="J586" s="1" t="s">
        <v>540</v>
      </c>
      <c r="K586" t="str">
        <f t="shared" si="9"/>
        <v>Non-Expired</v>
      </c>
    </row>
    <row r="587" spans="1:11" x14ac:dyDescent="0.3">
      <c r="A587" s="3" t="s">
        <v>499</v>
      </c>
      <c r="B587" t="s">
        <v>31</v>
      </c>
      <c r="C587" t="s">
        <v>170</v>
      </c>
      <c r="D587">
        <v>9</v>
      </c>
      <c r="E587" t="s">
        <v>41</v>
      </c>
      <c r="F587" t="s">
        <v>12</v>
      </c>
      <c r="G587" t="s">
        <v>384</v>
      </c>
      <c r="H587" s="1">
        <v>45536</v>
      </c>
      <c r="I587">
        <v>36</v>
      </c>
      <c r="J587" s="1" t="s">
        <v>540</v>
      </c>
      <c r="K587" t="str">
        <f t="shared" si="9"/>
        <v>Expired</v>
      </c>
    </row>
    <row r="588" spans="1:11" x14ac:dyDescent="0.3">
      <c r="A588" s="3" t="s">
        <v>499</v>
      </c>
      <c r="B588" t="s">
        <v>9</v>
      </c>
      <c r="C588" t="s">
        <v>107</v>
      </c>
      <c r="D588">
        <v>16</v>
      </c>
      <c r="E588" t="s">
        <v>45</v>
      </c>
      <c r="F588" t="s">
        <v>16</v>
      </c>
      <c r="G588" t="s">
        <v>114</v>
      </c>
      <c r="H588" s="1">
        <v>46357</v>
      </c>
      <c r="I588">
        <v>160</v>
      </c>
      <c r="J588" s="1" t="s">
        <v>540</v>
      </c>
      <c r="K588" t="str">
        <f t="shared" si="9"/>
        <v>Non-Expired</v>
      </c>
    </row>
    <row r="589" spans="1:11" x14ac:dyDescent="0.3">
      <c r="A589" s="3" t="s">
        <v>499</v>
      </c>
      <c r="B589" t="s">
        <v>92</v>
      </c>
      <c r="C589" t="s">
        <v>70</v>
      </c>
      <c r="D589">
        <v>20</v>
      </c>
      <c r="E589" t="s">
        <v>49</v>
      </c>
      <c r="F589" t="s">
        <v>50</v>
      </c>
      <c r="G589" t="s">
        <v>373</v>
      </c>
      <c r="H589" s="1">
        <v>46113</v>
      </c>
      <c r="I589">
        <v>100</v>
      </c>
      <c r="J589" s="1" t="s">
        <v>540</v>
      </c>
      <c r="K589" t="str">
        <f t="shared" si="9"/>
        <v>Non-Expired</v>
      </c>
    </row>
    <row r="590" spans="1:11" x14ac:dyDescent="0.3">
      <c r="A590" s="3" t="s">
        <v>499</v>
      </c>
      <c r="B590" t="s">
        <v>90</v>
      </c>
      <c r="C590" t="s">
        <v>112</v>
      </c>
      <c r="D590">
        <v>26</v>
      </c>
      <c r="E590" t="s">
        <v>52</v>
      </c>
      <c r="F590" t="s">
        <v>53</v>
      </c>
      <c r="G590" t="s">
        <v>380</v>
      </c>
      <c r="H590" s="1">
        <v>46174</v>
      </c>
      <c r="I590">
        <v>52</v>
      </c>
      <c r="J590" s="1" t="s">
        <v>540</v>
      </c>
      <c r="K590" t="str">
        <f t="shared" si="9"/>
        <v>Non-Expired</v>
      </c>
    </row>
    <row r="591" spans="1:11" x14ac:dyDescent="0.3">
      <c r="A591" s="3" t="s">
        <v>499</v>
      </c>
      <c r="B591" t="s">
        <v>97</v>
      </c>
      <c r="C591" t="s">
        <v>112</v>
      </c>
      <c r="D591">
        <v>7</v>
      </c>
      <c r="E591" t="s">
        <v>56</v>
      </c>
      <c r="F591" t="s">
        <v>53</v>
      </c>
      <c r="G591" t="s">
        <v>381</v>
      </c>
      <c r="H591" s="1">
        <v>46661</v>
      </c>
      <c r="I591">
        <v>70</v>
      </c>
      <c r="J591" s="1" t="s">
        <v>540</v>
      </c>
      <c r="K591" t="str">
        <f t="shared" si="9"/>
        <v>Non-Expired</v>
      </c>
    </row>
    <row r="592" spans="1:11" x14ac:dyDescent="0.3">
      <c r="A592" s="3" t="s">
        <v>499</v>
      </c>
      <c r="B592" t="s">
        <v>85</v>
      </c>
      <c r="C592" t="s">
        <v>10</v>
      </c>
      <c r="D592">
        <v>10</v>
      </c>
      <c r="E592" t="s">
        <v>60</v>
      </c>
      <c r="F592" t="s">
        <v>61</v>
      </c>
      <c r="G592" t="s">
        <v>406</v>
      </c>
      <c r="H592" s="1">
        <v>46235</v>
      </c>
      <c r="I592">
        <v>1200</v>
      </c>
      <c r="J592" s="1" t="s">
        <v>540</v>
      </c>
      <c r="K592" t="str">
        <f t="shared" si="9"/>
        <v>Non-Expired</v>
      </c>
    </row>
    <row r="593" spans="1:11" x14ac:dyDescent="0.3">
      <c r="A593" s="3" t="s">
        <v>499</v>
      </c>
      <c r="B593" t="s">
        <v>9</v>
      </c>
      <c r="C593" t="s">
        <v>14</v>
      </c>
      <c r="D593">
        <v>18</v>
      </c>
      <c r="E593" t="s">
        <v>63</v>
      </c>
      <c r="F593" t="s">
        <v>50</v>
      </c>
      <c r="G593" t="s">
        <v>402</v>
      </c>
      <c r="H593" s="1">
        <v>46692</v>
      </c>
      <c r="I593">
        <v>360</v>
      </c>
      <c r="J593" s="1" t="s">
        <v>540</v>
      </c>
      <c r="K593" t="str">
        <f t="shared" si="9"/>
        <v>Non-Expired</v>
      </c>
    </row>
    <row r="594" spans="1:11" x14ac:dyDescent="0.3">
      <c r="A594" s="3" t="s">
        <v>500</v>
      </c>
      <c r="B594" t="s">
        <v>43</v>
      </c>
      <c r="C594" t="s">
        <v>78</v>
      </c>
      <c r="D594">
        <v>23</v>
      </c>
      <c r="E594" t="s">
        <v>67</v>
      </c>
      <c r="F594" t="s">
        <v>68</v>
      </c>
      <c r="G594" t="s">
        <v>142</v>
      </c>
      <c r="H594" s="1">
        <v>45505</v>
      </c>
      <c r="I594">
        <v>690</v>
      </c>
      <c r="J594" s="1" t="s">
        <v>540</v>
      </c>
      <c r="K594" t="str">
        <f t="shared" si="9"/>
        <v>Expired</v>
      </c>
    </row>
    <row r="595" spans="1:11" x14ac:dyDescent="0.3">
      <c r="A595" s="3" t="s">
        <v>500</v>
      </c>
      <c r="B595" t="s">
        <v>9</v>
      </c>
      <c r="C595" t="s">
        <v>44</v>
      </c>
      <c r="D595">
        <v>8</v>
      </c>
      <c r="E595" t="s">
        <v>71</v>
      </c>
      <c r="F595" t="s">
        <v>72</v>
      </c>
      <c r="G595" t="s">
        <v>73</v>
      </c>
      <c r="H595" s="1">
        <v>46357</v>
      </c>
      <c r="I595">
        <v>320</v>
      </c>
      <c r="J595" s="1" t="s">
        <v>540</v>
      </c>
      <c r="K595" t="str">
        <f t="shared" si="9"/>
        <v>Non-Expired</v>
      </c>
    </row>
    <row r="596" spans="1:11" x14ac:dyDescent="0.3">
      <c r="A596" s="3" t="s">
        <v>500</v>
      </c>
      <c r="B596" t="s">
        <v>85</v>
      </c>
      <c r="C596" t="s">
        <v>78</v>
      </c>
      <c r="D596">
        <v>30</v>
      </c>
      <c r="E596" t="s">
        <v>75</v>
      </c>
      <c r="F596" t="s">
        <v>16</v>
      </c>
      <c r="G596" t="s">
        <v>358</v>
      </c>
      <c r="H596" s="1">
        <v>46692</v>
      </c>
      <c r="I596">
        <v>1500</v>
      </c>
      <c r="J596" s="1" t="s">
        <v>540</v>
      </c>
      <c r="K596" t="str">
        <f t="shared" si="9"/>
        <v>Non-Expired</v>
      </c>
    </row>
    <row r="597" spans="1:11" x14ac:dyDescent="0.3">
      <c r="A597" s="3" t="s">
        <v>500</v>
      </c>
      <c r="B597" t="s">
        <v>80</v>
      </c>
      <c r="C597" t="s">
        <v>112</v>
      </c>
      <c r="D597">
        <v>17</v>
      </c>
      <c r="E597" t="s">
        <v>11</v>
      </c>
      <c r="F597" t="s">
        <v>12</v>
      </c>
      <c r="G597" t="s">
        <v>277</v>
      </c>
      <c r="H597" s="1">
        <v>46419</v>
      </c>
      <c r="I597">
        <v>34</v>
      </c>
      <c r="J597" s="1" t="s">
        <v>540</v>
      </c>
      <c r="K597" t="str">
        <f t="shared" si="9"/>
        <v>Non-Expired</v>
      </c>
    </row>
    <row r="598" spans="1:11" x14ac:dyDescent="0.3">
      <c r="A598" s="3" t="s">
        <v>500</v>
      </c>
      <c r="B598" t="s">
        <v>97</v>
      </c>
      <c r="C598" t="s">
        <v>112</v>
      </c>
      <c r="D598">
        <v>20</v>
      </c>
      <c r="E598" t="s">
        <v>15</v>
      </c>
      <c r="F598" t="s">
        <v>16</v>
      </c>
      <c r="G598" t="s">
        <v>407</v>
      </c>
      <c r="H598" s="1">
        <v>46204</v>
      </c>
      <c r="I598">
        <v>60</v>
      </c>
      <c r="J598" s="1" t="s">
        <v>540</v>
      </c>
      <c r="K598" t="str">
        <f t="shared" si="9"/>
        <v>Non-Expired</v>
      </c>
    </row>
    <row r="599" spans="1:11" x14ac:dyDescent="0.3">
      <c r="A599" s="3" t="s">
        <v>500</v>
      </c>
      <c r="B599" t="s">
        <v>9</v>
      </c>
      <c r="C599" t="s">
        <v>14</v>
      </c>
      <c r="D599">
        <v>10</v>
      </c>
      <c r="E599" t="s">
        <v>20</v>
      </c>
      <c r="F599" t="s">
        <v>21</v>
      </c>
      <c r="G599" t="s">
        <v>245</v>
      </c>
      <c r="H599" s="1">
        <v>46447</v>
      </c>
      <c r="I599">
        <v>80</v>
      </c>
      <c r="J599" s="1" t="s">
        <v>540</v>
      </c>
      <c r="K599" t="str">
        <f t="shared" si="9"/>
        <v>Non-Expired</v>
      </c>
    </row>
    <row r="600" spans="1:11" x14ac:dyDescent="0.3">
      <c r="A600" s="3" t="s">
        <v>500</v>
      </c>
      <c r="B600" t="s">
        <v>9</v>
      </c>
      <c r="C600" t="s">
        <v>180</v>
      </c>
      <c r="D600">
        <v>10</v>
      </c>
      <c r="E600" t="s">
        <v>25</v>
      </c>
      <c r="F600" t="s">
        <v>26</v>
      </c>
      <c r="G600" t="s">
        <v>82</v>
      </c>
      <c r="H600" s="1">
        <v>46508</v>
      </c>
      <c r="I600">
        <v>30</v>
      </c>
      <c r="J600" s="1" t="s">
        <v>540</v>
      </c>
      <c r="K600" t="str">
        <f t="shared" si="9"/>
        <v>Non-Expired</v>
      </c>
    </row>
    <row r="601" spans="1:11" x14ac:dyDescent="0.3">
      <c r="A601" s="3" t="s">
        <v>500</v>
      </c>
      <c r="B601" t="s">
        <v>23</v>
      </c>
      <c r="C601" t="s">
        <v>24</v>
      </c>
      <c r="D601">
        <v>2</v>
      </c>
      <c r="E601" t="s">
        <v>28</v>
      </c>
      <c r="F601" t="s">
        <v>29</v>
      </c>
      <c r="G601" t="s">
        <v>375</v>
      </c>
      <c r="H601" s="1">
        <v>45352</v>
      </c>
      <c r="I601">
        <v>8</v>
      </c>
      <c r="J601" s="1" t="s">
        <v>540</v>
      </c>
      <c r="K601" t="str">
        <f t="shared" si="9"/>
        <v>Expired</v>
      </c>
    </row>
    <row r="602" spans="1:11" x14ac:dyDescent="0.3">
      <c r="A602" s="3" t="s">
        <v>501</v>
      </c>
      <c r="B602" t="s">
        <v>97</v>
      </c>
      <c r="C602" t="s">
        <v>19</v>
      </c>
      <c r="D602">
        <v>1</v>
      </c>
      <c r="E602" t="s">
        <v>33</v>
      </c>
      <c r="F602" t="s">
        <v>34</v>
      </c>
      <c r="G602" t="s">
        <v>401</v>
      </c>
      <c r="H602" s="1">
        <v>46784</v>
      </c>
      <c r="I602">
        <v>5</v>
      </c>
      <c r="J602" s="1" t="s">
        <v>540</v>
      </c>
      <c r="K602" t="str">
        <f t="shared" si="9"/>
        <v>Non-Expired</v>
      </c>
    </row>
    <row r="603" spans="1:11" x14ac:dyDescent="0.3">
      <c r="A603" s="3" t="s">
        <v>501</v>
      </c>
      <c r="B603" t="s">
        <v>97</v>
      </c>
      <c r="C603" t="s">
        <v>24</v>
      </c>
      <c r="D603">
        <v>19</v>
      </c>
      <c r="E603" t="s">
        <v>36</v>
      </c>
      <c r="F603" t="s">
        <v>37</v>
      </c>
      <c r="G603" t="s">
        <v>408</v>
      </c>
      <c r="H603" s="1">
        <v>46753</v>
      </c>
      <c r="I603">
        <v>114</v>
      </c>
      <c r="J603" s="1" t="s">
        <v>540</v>
      </c>
      <c r="K603" t="str">
        <f t="shared" si="9"/>
        <v>Non-Expired</v>
      </c>
    </row>
    <row r="604" spans="1:11" x14ac:dyDescent="0.3">
      <c r="A604" s="3" t="s">
        <v>501</v>
      </c>
      <c r="B604" t="s">
        <v>80</v>
      </c>
      <c r="C604" t="s">
        <v>101</v>
      </c>
      <c r="D604">
        <v>10</v>
      </c>
      <c r="E604" t="s">
        <v>41</v>
      </c>
      <c r="F604" t="s">
        <v>12</v>
      </c>
      <c r="G604" t="s">
        <v>409</v>
      </c>
      <c r="H604" s="1">
        <v>46296</v>
      </c>
      <c r="I604">
        <v>40</v>
      </c>
      <c r="J604" s="1" t="s">
        <v>540</v>
      </c>
      <c r="K604" t="str">
        <f t="shared" si="9"/>
        <v>Non-Expired</v>
      </c>
    </row>
    <row r="605" spans="1:11" x14ac:dyDescent="0.3">
      <c r="A605" s="3" t="s">
        <v>501</v>
      </c>
      <c r="B605" t="s">
        <v>65</v>
      </c>
      <c r="C605" t="s">
        <v>19</v>
      </c>
      <c r="D605">
        <v>14</v>
      </c>
      <c r="E605" t="s">
        <v>45</v>
      </c>
      <c r="F605" t="s">
        <v>16</v>
      </c>
      <c r="G605" t="s">
        <v>184</v>
      </c>
      <c r="H605" s="1">
        <v>46174</v>
      </c>
      <c r="I605">
        <v>140</v>
      </c>
      <c r="J605" s="1" t="s">
        <v>540</v>
      </c>
      <c r="K605" t="str">
        <f t="shared" si="9"/>
        <v>Non-Expired</v>
      </c>
    </row>
    <row r="606" spans="1:11" x14ac:dyDescent="0.3">
      <c r="A606" s="3" t="s">
        <v>501</v>
      </c>
      <c r="B606" t="s">
        <v>9</v>
      </c>
      <c r="C606" t="s">
        <v>74</v>
      </c>
      <c r="D606">
        <v>20</v>
      </c>
      <c r="E606" t="s">
        <v>49</v>
      </c>
      <c r="F606" t="s">
        <v>50</v>
      </c>
      <c r="G606" t="s">
        <v>410</v>
      </c>
      <c r="H606" s="1">
        <v>46661</v>
      </c>
      <c r="I606">
        <v>100</v>
      </c>
      <c r="J606" s="1" t="s">
        <v>540</v>
      </c>
      <c r="K606" t="str">
        <f t="shared" si="9"/>
        <v>Non-Expired</v>
      </c>
    </row>
    <row r="607" spans="1:11" x14ac:dyDescent="0.3">
      <c r="A607" s="3" t="s">
        <v>501</v>
      </c>
      <c r="B607" t="s">
        <v>31</v>
      </c>
      <c r="C607" t="s">
        <v>131</v>
      </c>
      <c r="D607">
        <v>29</v>
      </c>
      <c r="E607" t="s">
        <v>52</v>
      </c>
      <c r="F607" t="s">
        <v>53</v>
      </c>
      <c r="G607" t="s">
        <v>315</v>
      </c>
      <c r="H607" s="1">
        <v>46813</v>
      </c>
      <c r="I607">
        <v>58</v>
      </c>
      <c r="J607" s="1" t="s">
        <v>540</v>
      </c>
      <c r="K607" t="str">
        <f t="shared" si="9"/>
        <v>Non-Expired</v>
      </c>
    </row>
    <row r="608" spans="1:11" x14ac:dyDescent="0.3">
      <c r="A608" s="3" t="s">
        <v>501</v>
      </c>
      <c r="B608" t="s">
        <v>97</v>
      </c>
      <c r="C608" t="s">
        <v>149</v>
      </c>
      <c r="D608">
        <v>7</v>
      </c>
      <c r="E608" t="s">
        <v>56</v>
      </c>
      <c r="F608" t="s">
        <v>53</v>
      </c>
      <c r="G608" t="s">
        <v>117</v>
      </c>
      <c r="H608" s="1">
        <v>45627</v>
      </c>
      <c r="I608">
        <v>70</v>
      </c>
      <c r="J608" s="1" t="s">
        <v>540</v>
      </c>
      <c r="K608" t="str">
        <f t="shared" si="9"/>
        <v>Expired</v>
      </c>
    </row>
    <row r="609" spans="1:11" x14ac:dyDescent="0.3">
      <c r="A609" s="3" t="s">
        <v>501</v>
      </c>
      <c r="B609" t="s">
        <v>9</v>
      </c>
      <c r="C609" t="s">
        <v>10</v>
      </c>
      <c r="D609">
        <v>19</v>
      </c>
      <c r="E609" t="s">
        <v>60</v>
      </c>
      <c r="F609" t="s">
        <v>61</v>
      </c>
      <c r="G609" t="s">
        <v>217</v>
      </c>
      <c r="H609" s="1">
        <v>46204</v>
      </c>
      <c r="I609">
        <v>2280</v>
      </c>
      <c r="J609" s="1" t="s">
        <v>540</v>
      </c>
      <c r="K609" t="str">
        <f t="shared" si="9"/>
        <v>Non-Expired</v>
      </c>
    </row>
    <row r="610" spans="1:11" x14ac:dyDescent="0.3">
      <c r="A610" s="3" t="s">
        <v>502</v>
      </c>
      <c r="B610" t="s">
        <v>18</v>
      </c>
      <c r="C610" t="s">
        <v>119</v>
      </c>
      <c r="D610">
        <v>18</v>
      </c>
      <c r="E610" t="s">
        <v>63</v>
      </c>
      <c r="F610" t="s">
        <v>50</v>
      </c>
      <c r="G610" t="s">
        <v>231</v>
      </c>
      <c r="H610" s="1">
        <v>46296</v>
      </c>
      <c r="I610">
        <v>360</v>
      </c>
      <c r="J610" s="1" t="s">
        <v>540</v>
      </c>
      <c r="K610" t="str">
        <f t="shared" si="9"/>
        <v>Non-Expired</v>
      </c>
    </row>
    <row r="611" spans="1:11" x14ac:dyDescent="0.3">
      <c r="A611" s="3" t="s">
        <v>502</v>
      </c>
      <c r="B611" t="s">
        <v>39</v>
      </c>
      <c r="C611" t="s">
        <v>154</v>
      </c>
      <c r="D611">
        <v>25</v>
      </c>
      <c r="E611" t="s">
        <v>67</v>
      </c>
      <c r="F611" t="s">
        <v>68</v>
      </c>
      <c r="G611" t="s">
        <v>411</v>
      </c>
      <c r="H611" s="1">
        <v>46419</v>
      </c>
      <c r="I611">
        <v>750</v>
      </c>
      <c r="J611" s="1" t="s">
        <v>540</v>
      </c>
      <c r="K611" t="str">
        <f t="shared" si="9"/>
        <v>Non-Expired</v>
      </c>
    </row>
    <row r="612" spans="1:11" x14ac:dyDescent="0.3">
      <c r="A612" s="3" t="s">
        <v>502</v>
      </c>
      <c r="B612" t="s">
        <v>90</v>
      </c>
      <c r="C612" t="s">
        <v>83</v>
      </c>
      <c r="D612">
        <v>1</v>
      </c>
      <c r="E612" t="s">
        <v>71</v>
      </c>
      <c r="F612" t="s">
        <v>72</v>
      </c>
      <c r="G612" t="s">
        <v>286</v>
      </c>
      <c r="H612" s="1">
        <v>46113</v>
      </c>
      <c r="I612">
        <v>40</v>
      </c>
      <c r="J612" s="1" t="s">
        <v>540</v>
      </c>
      <c r="K612" t="str">
        <f t="shared" si="9"/>
        <v>Non-Expired</v>
      </c>
    </row>
    <row r="613" spans="1:11" x14ac:dyDescent="0.3">
      <c r="A613" s="3" t="s">
        <v>502</v>
      </c>
      <c r="B613" t="s">
        <v>18</v>
      </c>
      <c r="C613" t="s">
        <v>154</v>
      </c>
      <c r="D613">
        <v>18</v>
      </c>
      <c r="E613" t="s">
        <v>75</v>
      </c>
      <c r="F613" t="s">
        <v>16</v>
      </c>
      <c r="G613" t="s">
        <v>123</v>
      </c>
      <c r="H613" s="1">
        <v>46661</v>
      </c>
      <c r="I613">
        <v>900</v>
      </c>
      <c r="J613" s="1" t="s">
        <v>540</v>
      </c>
      <c r="K613" t="str">
        <f t="shared" si="9"/>
        <v>Non-Expired</v>
      </c>
    </row>
    <row r="614" spans="1:11" x14ac:dyDescent="0.3">
      <c r="A614" s="3" t="s">
        <v>502</v>
      </c>
      <c r="B614" t="s">
        <v>92</v>
      </c>
      <c r="C614" t="s">
        <v>55</v>
      </c>
      <c r="D614">
        <v>1</v>
      </c>
      <c r="E614" t="s">
        <v>11</v>
      </c>
      <c r="F614" t="s">
        <v>12</v>
      </c>
      <c r="G614" t="s">
        <v>412</v>
      </c>
      <c r="H614" s="1">
        <v>46327</v>
      </c>
      <c r="I614">
        <v>2</v>
      </c>
      <c r="J614" s="1" t="s">
        <v>540</v>
      </c>
      <c r="K614" t="str">
        <f t="shared" si="9"/>
        <v>Non-Expired</v>
      </c>
    </row>
    <row r="615" spans="1:11" x14ac:dyDescent="0.3">
      <c r="A615" s="3" t="s">
        <v>502</v>
      </c>
      <c r="B615" t="s">
        <v>9</v>
      </c>
      <c r="C615" t="s">
        <v>59</v>
      </c>
      <c r="D615">
        <v>16</v>
      </c>
      <c r="E615" t="s">
        <v>15</v>
      </c>
      <c r="F615" t="s">
        <v>16</v>
      </c>
      <c r="G615" t="s">
        <v>163</v>
      </c>
      <c r="H615" s="1">
        <v>45566</v>
      </c>
      <c r="I615">
        <v>48</v>
      </c>
      <c r="J615" s="1" t="s">
        <v>540</v>
      </c>
      <c r="K615" t="str">
        <f t="shared" si="9"/>
        <v>Expired</v>
      </c>
    </row>
    <row r="616" spans="1:11" x14ac:dyDescent="0.3">
      <c r="A616" s="3" t="s">
        <v>502</v>
      </c>
      <c r="B616" t="s">
        <v>85</v>
      </c>
      <c r="C616" t="s">
        <v>162</v>
      </c>
      <c r="D616">
        <v>28</v>
      </c>
      <c r="E616" t="s">
        <v>20</v>
      </c>
      <c r="F616" t="s">
        <v>21</v>
      </c>
      <c r="G616" t="s">
        <v>374</v>
      </c>
      <c r="H616" s="1">
        <v>46478</v>
      </c>
      <c r="I616">
        <v>224</v>
      </c>
      <c r="J616" s="1" t="s">
        <v>540</v>
      </c>
      <c r="K616" t="str">
        <f t="shared" si="9"/>
        <v>Non-Expired</v>
      </c>
    </row>
    <row r="617" spans="1:11" x14ac:dyDescent="0.3">
      <c r="A617" s="3" t="s">
        <v>502</v>
      </c>
      <c r="B617" t="s">
        <v>92</v>
      </c>
      <c r="C617" t="s">
        <v>203</v>
      </c>
      <c r="D617">
        <v>23</v>
      </c>
      <c r="E617" t="s">
        <v>25</v>
      </c>
      <c r="F617" t="s">
        <v>26</v>
      </c>
      <c r="G617" t="s">
        <v>109</v>
      </c>
      <c r="H617" s="1">
        <v>46296</v>
      </c>
      <c r="I617">
        <v>69</v>
      </c>
      <c r="J617" s="1" t="s">
        <v>540</v>
      </c>
      <c r="K617" t="str">
        <f t="shared" si="9"/>
        <v>Non-Expired</v>
      </c>
    </row>
    <row r="618" spans="1:11" x14ac:dyDescent="0.3">
      <c r="A618" s="3" t="s">
        <v>503</v>
      </c>
      <c r="B618" t="s">
        <v>58</v>
      </c>
      <c r="C618" t="s">
        <v>128</v>
      </c>
      <c r="D618">
        <v>1</v>
      </c>
      <c r="E618" t="s">
        <v>28</v>
      </c>
      <c r="F618" t="s">
        <v>29</v>
      </c>
      <c r="G618" t="s">
        <v>383</v>
      </c>
      <c r="H618" s="1">
        <v>46692</v>
      </c>
      <c r="I618">
        <v>4</v>
      </c>
      <c r="J618" s="1" t="s">
        <v>540</v>
      </c>
      <c r="K618" t="str">
        <f t="shared" si="9"/>
        <v>Non-Expired</v>
      </c>
    </row>
    <row r="619" spans="1:11" x14ac:dyDescent="0.3">
      <c r="A619" s="3" t="s">
        <v>503</v>
      </c>
      <c r="B619" t="s">
        <v>97</v>
      </c>
      <c r="C619" t="s">
        <v>19</v>
      </c>
      <c r="D619">
        <v>17</v>
      </c>
      <c r="E619" t="s">
        <v>33</v>
      </c>
      <c r="F619" t="s">
        <v>34</v>
      </c>
      <c r="G619" t="s">
        <v>371</v>
      </c>
      <c r="H619" s="1">
        <v>46143</v>
      </c>
      <c r="I619">
        <v>85</v>
      </c>
      <c r="J619" s="1" t="s">
        <v>540</v>
      </c>
      <c r="K619" t="str">
        <f t="shared" si="9"/>
        <v>Non-Expired</v>
      </c>
    </row>
    <row r="620" spans="1:11" x14ac:dyDescent="0.3">
      <c r="A620" s="3" t="s">
        <v>503</v>
      </c>
      <c r="B620" t="s">
        <v>23</v>
      </c>
      <c r="C620" t="s">
        <v>88</v>
      </c>
      <c r="D620">
        <v>7</v>
      </c>
      <c r="E620" t="s">
        <v>36</v>
      </c>
      <c r="F620" t="s">
        <v>37</v>
      </c>
      <c r="G620" t="s">
        <v>270</v>
      </c>
      <c r="H620" s="1">
        <v>45627</v>
      </c>
      <c r="I620">
        <v>42</v>
      </c>
      <c r="J620" s="1" t="s">
        <v>540</v>
      </c>
      <c r="K620" t="str">
        <f t="shared" si="9"/>
        <v>Expired</v>
      </c>
    </row>
    <row r="621" spans="1:11" x14ac:dyDescent="0.3">
      <c r="A621" s="3" t="s">
        <v>503</v>
      </c>
      <c r="B621" t="s">
        <v>18</v>
      </c>
      <c r="C621" t="s">
        <v>173</v>
      </c>
      <c r="D621">
        <v>7</v>
      </c>
      <c r="E621" t="s">
        <v>41</v>
      </c>
      <c r="F621" t="s">
        <v>12</v>
      </c>
      <c r="G621" t="s">
        <v>314</v>
      </c>
      <c r="H621" s="1">
        <v>46447</v>
      </c>
      <c r="I621">
        <v>28</v>
      </c>
      <c r="J621" s="1" t="s">
        <v>540</v>
      </c>
      <c r="K621" t="str">
        <f t="shared" si="9"/>
        <v>Non-Expired</v>
      </c>
    </row>
    <row r="622" spans="1:11" x14ac:dyDescent="0.3">
      <c r="A622" s="3" t="s">
        <v>503</v>
      </c>
      <c r="B622" t="s">
        <v>39</v>
      </c>
      <c r="C622" t="s">
        <v>131</v>
      </c>
      <c r="D622">
        <v>11</v>
      </c>
      <c r="E622" t="s">
        <v>45</v>
      </c>
      <c r="F622" t="s">
        <v>16</v>
      </c>
      <c r="G622" t="s">
        <v>264</v>
      </c>
      <c r="H622" s="1">
        <v>46692</v>
      </c>
      <c r="I622">
        <v>110</v>
      </c>
      <c r="J622" s="1" t="s">
        <v>540</v>
      </c>
      <c r="K622" t="str">
        <f t="shared" si="9"/>
        <v>Non-Expired</v>
      </c>
    </row>
    <row r="623" spans="1:11" x14ac:dyDescent="0.3">
      <c r="A623" s="3" t="s">
        <v>503</v>
      </c>
      <c r="B623" t="s">
        <v>23</v>
      </c>
      <c r="C623" t="s">
        <v>107</v>
      </c>
      <c r="D623">
        <v>24</v>
      </c>
      <c r="E623" t="s">
        <v>49</v>
      </c>
      <c r="F623" t="s">
        <v>50</v>
      </c>
      <c r="G623" t="s">
        <v>391</v>
      </c>
      <c r="H623" s="1">
        <v>46631</v>
      </c>
      <c r="I623">
        <v>120</v>
      </c>
      <c r="J623" s="1" t="s">
        <v>540</v>
      </c>
      <c r="K623" t="str">
        <f t="shared" si="9"/>
        <v>Non-Expired</v>
      </c>
    </row>
    <row r="624" spans="1:11" x14ac:dyDescent="0.3">
      <c r="A624" s="3" t="s">
        <v>503</v>
      </c>
      <c r="B624" t="s">
        <v>85</v>
      </c>
      <c r="C624" t="s">
        <v>48</v>
      </c>
      <c r="D624">
        <v>6</v>
      </c>
      <c r="E624" t="s">
        <v>52</v>
      </c>
      <c r="F624" t="s">
        <v>53</v>
      </c>
      <c r="G624" t="s">
        <v>137</v>
      </c>
      <c r="H624" s="1">
        <v>46508</v>
      </c>
      <c r="I624">
        <v>12</v>
      </c>
      <c r="J624" s="1" t="s">
        <v>540</v>
      </c>
      <c r="K624" t="str">
        <f t="shared" si="9"/>
        <v>Non-Expired</v>
      </c>
    </row>
    <row r="625" spans="1:11" x14ac:dyDescent="0.3">
      <c r="A625" s="3" t="s">
        <v>503</v>
      </c>
      <c r="B625" t="s">
        <v>23</v>
      </c>
      <c r="C625" t="s">
        <v>154</v>
      </c>
      <c r="D625">
        <v>21</v>
      </c>
      <c r="E625" t="s">
        <v>56</v>
      </c>
      <c r="F625" t="s">
        <v>53</v>
      </c>
      <c r="G625" t="s">
        <v>172</v>
      </c>
      <c r="H625" s="1">
        <v>45444</v>
      </c>
      <c r="I625">
        <v>210</v>
      </c>
      <c r="J625" s="1" t="s">
        <v>540</v>
      </c>
      <c r="K625" t="str">
        <f t="shared" si="9"/>
        <v>Expired</v>
      </c>
    </row>
    <row r="626" spans="1:11" x14ac:dyDescent="0.3">
      <c r="A626" s="3" t="s">
        <v>504</v>
      </c>
      <c r="B626" t="s">
        <v>90</v>
      </c>
      <c r="C626" t="s">
        <v>131</v>
      </c>
      <c r="D626">
        <v>8</v>
      </c>
      <c r="E626" t="s">
        <v>60</v>
      </c>
      <c r="F626" t="s">
        <v>61</v>
      </c>
      <c r="G626" t="s">
        <v>302</v>
      </c>
      <c r="H626" s="1">
        <v>46569</v>
      </c>
      <c r="I626">
        <v>960</v>
      </c>
      <c r="J626" s="1" t="s">
        <v>540</v>
      </c>
      <c r="K626" t="str">
        <f t="shared" si="9"/>
        <v>Non-Expired</v>
      </c>
    </row>
    <row r="627" spans="1:11" x14ac:dyDescent="0.3">
      <c r="A627" s="3" t="s">
        <v>504</v>
      </c>
      <c r="B627" t="s">
        <v>58</v>
      </c>
      <c r="C627" t="s">
        <v>154</v>
      </c>
      <c r="D627">
        <v>29</v>
      </c>
      <c r="E627" t="s">
        <v>63</v>
      </c>
      <c r="F627" t="s">
        <v>50</v>
      </c>
      <c r="G627" t="s">
        <v>158</v>
      </c>
      <c r="H627" s="1">
        <v>46235</v>
      </c>
      <c r="I627">
        <v>580</v>
      </c>
      <c r="J627" s="1" t="s">
        <v>540</v>
      </c>
      <c r="K627" t="str">
        <f t="shared" si="9"/>
        <v>Non-Expired</v>
      </c>
    </row>
    <row r="628" spans="1:11" x14ac:dyDescent="0.3">
      <c r="A628" s="3" t="s">
        <v>504</v>
      </c>
      <c r="B628" t="s">
        <v>9</v>
      </c>
      <c r="C628" t="s">
        <v>32</v>
      </c>
      <c r="D628">
        <v>12</v>
      </c>
      <c r="E628" t="s">
        <v>67</v>
      </c>
      <c r="F628" t="s">
        <v>68</v>
      </c>
      <c r="G628" t="s">
        <v>232</v>
      </c>
      <c r="H628" s="1">
        <v>45992</v>
      </c>
      <c r="I628">
        <v>360</v>
      </c>
      <c r="J628" s="1" t="s">
        <v>540</v>
      </c>
      <c r="K628" t="str">
        <f t="shared" si="9"/>
        <v>Non-Expired</v>
      </c>
    </row>
    <row r="629" spans="1:11" x14ac:dyDescent="0.3">
      <c r="A629" s="3" t="s">
        <v>504</v>
      </c>
      <c r="B629" t="s">
        <v>9</v>
      </c>
      <c r="C629" t="s">
        <v>139</v>
      </c>
      <c r="D629">
        <v>3</v>
      </c>
      <c r="E629" t="s">
        <v>71</v>
      </c>
      <c r="F629" t="s">
        <v>72</v>
      </c>
      <c r="G629" t="s">
        <v>286</v>
      </c>
      <c r="H629" s="1">
        <v>46266</v>
      </c>
      <c r="I629">
        <v>120</v>
      </c>
      <c r="J629" s="1" t="s">
        <v>540</v>
      </c>
      <c r="K629" t="str">
        <f t="shared" si="9"/>
        <v>Non-Expired</v>
      </c>
    </row>
    <row r="630" spans="1:11" x14ac:dyDescent="0.3">
      <c r="A630" s="3" t="s">
        <v>504</v>
      </c>
      <c r="B630" t="s">
        <v>58</v>
      </c>
      <c r="C630" t="s">
        <v>180</v>
      </c>
      <c r="D630">
        <v>8</v>
      </c>
      <c r="E630" t="s">
        <v>75</v>
      </c>
      <c r="F630" t="s">
        <v>16</v>
      </c>
      <c r="G630" t="s">
        <v>262</v>
      </c>
      <c r="H630" s="1">
        <v>45444</v>
      </c>
      <c r="I630">
        <v>400</v>
      </c>
      <c r="J630" s="1" t="s">
        <v>540</v>
      </c>
      <c r="K630" t="str">
        <f t="shared" si="9"/>
        <v>Expired</v>
      </c>
    </row>
    <row r="631" spans="1:11" x14ac:dyDescent="0.3">
      <c r="A631" s="3" t="s">
        <v>504</v>
      </c>
      <c r="B631" t="s">
        <v>80</v>
      </c>
      <c r="C631" t="s">
        <v>214</v>
      </c>
      <c r="D631">
        <v>21</v>
      </c>
      <c r="E631" t="s">
        <v>11</v>
      </c>
      <c r="F631" t="s">
        <v>12</v>
      </c>
      <c r="G631" t="s">
        <v>161</v>
      </c>
      <c r="H631" s="1">
        <v>46692</v>
      </c>
      <c r="I631">
        <v>42</v>
      </c>
      <c r="J631" s="1" t="s">
        <v>540</v>
      </c>
      <c r="K631" t="str">
        <f t="shared" si="9"/>
        <v>Non-Expired</v>
      </c>
    </row>
    <row r="632" spans="1:11" x14ac:dyDescent="0.3">
      <c r="A632" s="3" t="s">
        <v>504</v>
      </c>
      <c r="B632" t="s">
        <v>47</v>
      </c>
      <c r="C632" t="s">
        <v>70</v>
      </c>
      <c r="D632">
        <v>14</v>
      </c>
      <c r="E632" t="s">
        <v>15</v>
      </c>
      <c r="F632" t="s">
        <v>16</v>
      </c>
      <c r="G632" t="s">
        <v>126</v>
      </c>
      <c r="H632" s="1">
        <v>46539</v>
      </c>
      <c r="I632">
        <v>42</v>
      </c>
      <c r="J632" s="1" t="s">
        <v>540</v>
      </c>
      <c r="K632" t="str">
        <f t="shared" si="9"/>
        <v>Non-Expired</v>
      </c>
    </row>
    <row r="633" spans="1:11" x14ac:dyDescent="0.3">
      <c r="A633" s="3" t="s">
        <v>504</v>
      </c>
      <c r="B633" t="s">
        <v>65</v>
      </c>
      <c r="C633" t="s">
        <v>74</v>
      </c>
      <c r="D633">
        <v>30</v>
      </c>
      <c r="E633" t="s">
        <v>20</v>
      </c>
      <c r="F633" t="s">
        <v>21</v>
      </c>
      <c r="G633" t="s">
        <v>413</v>
      </c>
      <c r="H633" s="1">
        <v>46174</v>
      </c>
      <c r="I633">
        <v>240</v>
      </c>
      <c r="J633" s="1" t="s">
        <v>540</v>
      </c>
      <c r="K633" t="str">
        <f t="shared" si="9"/>
        <v>Non-Expired</v>
      </c>
    </row>
    <row r="634" spans="1:11" x14ac:dyDescent="0.3">
      <c r="A634" s="3" t="s">
        <v>505</v>
      </c>
      <c r="B634" t="s">
        <v>9</v>
      </c>
      <c r="C634" t="s">
        <v>210</v>
      </c>
      <c r="D634">
        <v>14</v>
      </c>
      <c r="E634" t="s">
        <v>25</v>
      </c>
      <c r="F634" t="s">
        <v>26</v>
      </c>
      <c r="G634" t="s">
        <v>414</v>
      </c>
      <c r="H634" s="1">
        <v>46388</v>
      </c>
      <c r="I634">
        <v>42</v>
      </c>
      <c r="J634" s="1" t="s">
        <v>540</v>
      </c>
      <c r="K634" t="str">
        <f t="shared" si="9"/>
        <v>Non-Expired</v>
      </c>
    </row>
    <row r="635" spans="1:11" x14ac:dyDescent="0.3">
      <c r="A635" s="3" t="s">
        <v>505</v>
      </c>
      <c r="B635" t="s">
        <v>9</v>
      </c>
      <c r="C635" t="s">
        <v>99</v>
      </c>
      <c r="D635">
        <v>19</v>
      </c>
      <c r="E635" t="s">
        <v>28</v>
      </c>
      <c r="F635" t="s">
        <v>29</v>
      </c>
      <c r="G635" t="s">
        <v>415</v>
      </c>
      <c r="H635" s="1">
        <v>45413</v>
      </c>
      <c r="I635">
        <v>76</v>
      </c>
      <c r="J635" s="1" t="s">
        <v>540</v>
      </c>
      <c r="K635" t="str">
        <f t="shared" si="9"/>
        <v>Expired</v>
      </c>
    </row>
    <row r="636" spans="1:11" x14ac:dyDescent="0.3">
      <c r="A636" s="3" t="s">
        <v>505</v>
      </c>
      <c r="B636" t="s">
        <v>39</v>
      </c>
      <c r="C636" t="s">
        <v>101</v>
      </c>
      <c r="D636">
        <v>9</v>
      </c>
      <c r="E636" t="s">
        <v>33</v>
      </c>
      <c r="F636" t="s">
        <v>34</v>
      </c>
      <c r="G636" t="s">
        <v>361</v>
      </c>
      <c r="H636" s="1">
        <v>46478</v>
      </c>
      <c r="I636">
        <v>45</v>
      </c>
      <c r="J636" s="1" t="s">
        <v>540</v>
      </c>
      <c r="K636" t="str">
        <f t="shared" si="9"/>
        <v>Non-Expired</v>
      </c>
    </row>
    <row r="637" spans="1:11" x14ac:dyDescent="0.3">
      <c r="A637" s="3" t="s">
        <v>505</v>
      </c>
      <c r="B637" t="s">
        <v>9</v>
      </c>
      <c r="C637" t="s">
        <v>101</v>
      </c>
      <c r="D637">
        <v>3</v>
      </c>
      <c r="E637" t="s">
        <v>36</v>
      </c>
      <c r="F637" t="s">
        <v>37</v>
      </c>
      <c r="G637" t="s">
        <v>362</v>
      </c>
      <c r="H637" s="1">
        <v>46296</v>
      </c>
      <c r="I637">
        <v>18</v>
      </c>
      <c r="J637" s="1" t="s">
        <v>540</v>
      </c>
      <c r="K637" t="str">
        <f t="shared" si="9"/>
        <v>Non-Expired</v>
      </c>
    </row>
    <row r="638" spans="1:11" x14ac:dyDescent="0.3">
      <c r="A638" s="3" t="s">
        <v>505</v>
      </c>
      <c r="B638" t="s">
        <v>97</v>
      </c>
      <c r="C638" t="s">
        <v>112</v>
      </c>
      <c r="D638">
        <v>19</v>
      </c>
      <c r="E638" t="s">
        <v>41</v>
      </c>
      <c r="F638" t="s">
        <v>12</v>
      </c>
      <c r="G638" t="s">
        <v>363</v>
      </c>
      <c r="H638" s="1">
        <v>46296</v>
      </c>
      <c r="I638">
        <v>76</v>
      </c>
      <c r="J638" s="1" t="s">
        <v>540</v>
      </c>
      <c r="K638" t="str">
        <f t="shared" si="9"/>
        <v>Non-Expired</v>
      </c>
    </row>
    <row r="639" spans="1:11" x14ac:dyDescent="0.3">
      <c r="A639" s="3" t="s">
        <v>505</v>
      </c>
      <c r="B639" t="s">
        <v>9</v>
      </c>
      <c r="C639" t="s">
        <v>83</v>
      </c>
      <c r="D639">
        <v>28</v>
      </c>
      <c r="E639" t="s">
        <v>45</v>
      </c>
      <c r="F639" t="s">
        <v>16</v>
      </c>
      <c r="G639" t="s">
        <v>416</v>
      </c>
      <c r="H639" s="1">
        <v>46266</v>
      </c>
      <c r="I639">
        <v>280</v>
      </c>
      <c r="J639" s="1" t="s">
        <v>540</v>
      </c>
      <c r="K639" t="str">
        <f t="shared" si="9"/>
        <v>Non-Expired</v>
      </c>
    </row>
    <row r="640" spans="1:11" x14ac:dyDescent="0.3">
      <c r="A640" s="3" t="s">
        <v>505</v>
      </c>
      <c r="B640" t="s">
        <v>9</v>
      </c>
      <c r="C640" t="s">
        <v>139</v>
      </c>
      <c r="D640">
        <v>10</v>
      </c>
      <c r="E640" t="s">
        <v>49</v>
      </c>
      <c r="F640" t="s">
        <v>50</v>
      </c>
      <c r="G640" t="s">
        <v>385</v>
      </c>
      <c r="H640" s="1">
        <v>45597</v>
      </c>
      <c r="I640">
        <v>50</v>
      </c>
      <c r="J640" s="1" t="s">
        <v>540</v>
      </c>
      <c r="K640" t="str">
        <f t="shared" si="9"/>
        <v>Expired</v>
      </c>
    </row>
    <row r="641" spans="1:11" x14ac:dyDescent="0.3">
      <c r="A641" s="3" t="s">
        <v>505</v>
      </c>
      <c r="B641" t="s">
        <v>9</v>
      </c>
      <c r="C641" t="s">
        <v>180</v>
      </c>
      <c r="D641">
        <v>19</v>
      </c>
      <c r="E641" t="s">
        <v>52</v>
      </c>
      <c r="F641" t="s">
        <v>53</v>
      </c>
      <c r="G641" t="s">
        <v>155</v>
      </c>
      <c r="H641" s="1">
        <v>46600</v>
      </c>
      <c r="I641">
        <v>38</v>
      </c>
      <c r="J641" s="1" t="s">
        <v>540</v>
      </c>
      <c r="K641" t="str">
        <f t="shared" si="9"/>
        <v>Non-Expired</v>
      </c>
    </row>
    <row r="642" spans="1:11" x14ac:dyDescent="0.3">
      <c r="A642" s="3" t="s">
        <v>506</v>
      </c>
      <c r="B642" t="s">
        <v>47</v>
      </c>
      <c r="C642" t="s">
        <v>101</v>
      </c>
      <c r="D642">
        <v>26</v>
      </c>
      <c r="E642" t="s">
        <v>56</v>
      </c>
      <c r="F642" t="s">
        <v>53</v>
      </c>
      <c r="G642" t="s">
        <v>417</v>
      </c>
      <c r="H642" s="1">
        <v>46023</v>
      </c>
      <c r="I642">
        <v>260</v>
      </c>
      <c r="J642" s="1" t="s">
        <v>540</v>
      </c>
      <c r="K642" t="str">
        <f t="shared" si="9"/>
        <v>Non-Expired</v>
      </c>
    </row>
    <row r="643" spans="1:11" x14ac:dyDescent="0.3">
      <c r="A643" s="3" t="s">
        <v>506</v>
      </c>
      <c r="B643" t="s">
        <v>9</v>
      </c>
      <c r="C643" t="s">
        <v>107</v>
      </c>
      <c r="D643">
        <v>16</v>
      </c>
      <c r="E643" t="s">
        <v>60</v>
      </c>
      <c r="F643" t="s">
        <v>61</v>
      </c>
      <c r="G643" t="s">
        <v>418</v>
      </c>
      <c r="H643" s="1">
        <v>46266</v>
      </c>
      <c r="I643">
        <v>1920</v>
      </c>
      <c r="J643" s="1" t="s">
        <v>540</v>
      </c>
      <c r="K643" t="str">
        <f t="shared" ref="K643:K706" si="10">IF(H643&lt;=DATE(2025,5,5),"Expired","Non-Expired")</f>
        <v>Non-Expired</v>
      </c>
    </row>
    <row r="644" spans="1:11" x14ac:dyDescent="0.3">
      <c r="A644" s="3" t="s">
        <v>506</v>
      </c>
      <c r="B644" t="s">
        <v>47</v>
      </c>
      <c r="C644" t="s">
        <v>119</v>
      </c>
      <c r="D644">
        <v>4</v>
      </c>
      <c r="E644" t="s">
        <v>63</v>
      </c>
      <c r="F644" t="s">
        <v>50</v>
      </c>
      <c r="G644" t="s">
        <v>98</v>
      </c>
      <c r="H644" s="1">
        <v>46054</v>
      </c>
      <c r="I644">
        <v>80</v>
      </c>
      <c r="J644" s="1" t="s">
        <v>540</v>
      </c>
      <c r="K644" t="str">
        <f t="shared" si="10"/>
        <v>Non-Expired</v>
      </c>
    </row>
    <row r="645" spans="1:11" x14ac:dyDescent="0.3">
      <c r="A645" s="3" t="s">
        <v>506</v>
      </c>
      <c r="B645" t="s">
        <v>18</v>
      </c>
      <c r="C645" t="s">
        <v>10</v>
      </c>
      <c r="D645">
        <v>16</v>
      </c>
      <c r="E645" t="s">
        <v>67</v>
      </c>
      <c r="F645" t="s">
        <v>68</v>
      </c>
      <c r="G645" t="s">
        <v>276</v>
      </c>
      <c r="H645" s="1">
        <v>45017</v>
      </c>
      <c r="I645">
        <v>480</v>
      </c>
      <c r="J645" s="1" t="s">
        <v>540</v>
      </c>
      <c r="K645" t="str">
        <f t="shared" si="10"/>
        <v>Expired</v>
      </c>
    </row>
    <row r="646" spans="1:11" x14ac:dyDescent="0.3">
      <c r="A646" s="3" t="s">
        <v>506</v>
      </c>
      <c r="B646" t="s">
        <v>43</v>
      </c>
      <c r="C646" t="s">
        <v>131</v>
      </c>
      <c r="D646">
        <v>14</v>
      </c>
      <c r="E646" t="s">
        <v>71</v>
      </c>
      <c r="F646" t="s">
        <v>72</v>
      </c>
      <c r="G646" t="s">
        <v>242</v>
      </c>
      <c r="H646" s="1">
        <v>46266</v>
      </c>
      <c r="I646">
        <v>560</v>
      </c>
      <c r="J646" s="1" t="s">
        <v>540</v>
      </c>
      <c r="K646" t="str">
        <f t="shared" si="10"/>
        <v>Non-Expired</v>
      </c>
    </row>
    <row r="647" spans="1:11" x14ac:dyDescent="0.3">
      <c r="A647" s="3" t="s">
        <v>506</v>
      </c>
      <c r="B647" t="s">
        <v>97</v>
      </c>
      <c r="C647" t="s">
        <v>88</v>
      </c>
      <c r="D647">
        <v>24</v>
      </c>
      <c r="E647" t="s">
        <v>75</v>
      </c>
      <c r="F647" t="s">
        <v>16</v>
      </c>
      <c r="G647" t="s">
        <v>352</v>
      </c>
      <c r="H647" s="1">
        <v>45992</v>
      </c>
      <c r="I647">
        <v>1200</v>
      </c>
      <c r="J647" s="1" t="s">
        <v>540</v>
      </c>
      <c r="K647" t="str">
        <f t="shared" si="10"/>
        <v>Non-Expired</v>
      </c>
    </row>
    <row r="648" spans="1:11" x14ac:dyDescent="0.3">
      <c r="A648" s="3" t="s">
        <v>506</v>
      </c>
      <c r="B648" t="s">
        <v>9</v>
      </c>
      <c r="C648" t="s">
        <v>88</v>
      </c>
      <c r="D648">
        <v>19</v>
      </c>
      <c r="E648" t="s">
        <v>11</v>
      </c>
      <c r="F648" t="s">
        <v>12</v>
      </c>
      <c r="G648" t="s">
        <v>206</v>
      </c>
      <c r="H648" s="1">
        <v>46082</v>
      </c>
      <c r="I648">
        <v>38</v>
      </c>
      <c r="J648" s="1" t="s">
        <v>540</v>
      </c>
      <c r="K648" t="str">
        <f t="shared" si="10"/>
        <v>Non-Expired</v>
      </c>
    </row>
    <row r="649" spans="1:11" x14ac:dyDescent="0.3">
      <c r="A649" s="3" t="s">
        <v>506</v>
      </c>
      <c r="B649" t="s">
        <v>65</v>
      </c>
      <c r="C649" t="s">
        <v>162</v>
      </c>
      <c r="D649">
        <v>8</v>
      </c>
      <c r="E649" t="s">
        <v>15</v>
      </c>
      <c r="F649" t="s">
        <v>16</v>
      </c>
      <c r="G649" t="s">
        <v>353</v>
      </c>
      <c r="H649" s="1">
        <v>45352</v>
      </c>
      <c r="I649">
        <v>24</v>
      </c>
      <c r="J649" s="1" t="s">
        <v>540</v>
      </c>
      <c r="K649" t="str">
        <f t="shared" si="10"/>
        <v>Expired</v>
      </c>
    </row>
    <row r="650" spans="1:11" x14ac:dyDescent="0.3">
      <c r="A650" s="3" t="s">
        <v>507</v>
      </c>
      <c r="B650" t="s">
        <v>39</v>
      </c>
      <c r="C650" t="s">
        <v>101</v>
      </c>
      <c r="D650">
        <v>9</v>
      </c>
      <c r="E650" t="s">
        <v>20</v>
      </c>
      <c r="F650" t="s">
        <v>21</v>
      </c>
      <c r="G650" t="s">
        <v>208</v>
      </c>
      <c r="H650" s="1">
        <v>46266</v>
      </c>
      <c r="I650">
        <v>72</v>
      </c>
      <c r="J650" s="1" t="s">
        <v>540</v>
      </c>
      <c r="K650" t="str">
        <f t="shared" si="10"/>
        <v>Non-Expired</v>
      </c>
    </row>
    <row r="651" spans="1:11" x14ac:dyDescent="0.3">
      <c r="A651" s="3" t="s">
        <v>507</v>
      </c>
      <c r="B651" t="s">
        <v>9</v>
      </c>
      <c r="C651" t="s">
        <v>119</v>
      </c>
      <c r="D651">
        <v>18</v>
      </c>
      <c r="E651" t="s">
        <v>25</v>
      </c>
      <c r="F651" t="s">
        <v>26</v>
      </c>
      <c r="G651" t="s">
        <v>414</v>
      </c>
      <c r="H651" s="1">
        <v>46753</v>
      </c>
      <c r="I651">
        <v>54</v>
      </c>
      <c r="J651" s="1" t="s">
        <v>540</v>
      </c>
      <c r="K651" t="str">
        <f t="shared" si="10"/>
        <v>Non-Expired</v>
      </c>
    </row>
    <row r="652" spans="1:11" x14ac:dyDescent="0.3">
      <c r="A652" s="3" t="s">
        <v>507</v>
      </c>
      <c r="B652" t="s">
        <v>18</v>
      </c>
      <c r="C652" t="s">
        <v>131</v>
      </c>
      <c r="D652">
        <v>17</v>
      </c>
      <c r="E652" t="s">
        <v>28</v>
      </c>
      <c r="F652" t="s">
        <v>29</v>
      </c>
      <c r="G652" t="s">
        <v>324</v>
      </c>
      <c r="H652" s="1">
        <v>46174</v>
      </c>
      <c r="I652">
        <v>68</v>
      </c>
      <c r="J652" s="1" t="s">
        <v>540</v>
      </c>
      <c r="K652" t="str">
        <f t="shared" si="10"/>
        <v>Non-Expired</v>
      </c>
    </row>
    <row r="653" spans="1:11" x14ac:dyDescent="0.3">
      <c r="A653" s="3" t="s">
        <v>507</v>
      </c>
      <c r="B653" t="s">
        <v>18</v>
      </c>
      <c r="C653" t="s">
        <v>44</v>
      </c>
      <c r="D653">
        <v>3</v>
      </c>
      <c r="E653" t="s">
        <v>33</v>
      </c>
      <c r="F653" t="s">
        <v>34</v>
      </c>
      <c r="G653" t="s">
        <v>419</v>
      </c>
      <c r="H653" s="1">
        <v>46266</v>
      </c>
      <c r="I653">
        <v>15</v>
      </c>
      <c r="J653" s="1" t="s">
        <v>540</v>
      </c>
      <c r="K653" t="str">
        <f t="shared" si="10"/>
        <v>Non-Expired</v>
      </c>
    </row>
    <row r="654" spans="1:11" x14ac:dyDescent="0.3">
      <c r="A654" s="3" t="s">
        <v>507</v>
      </c>
      <c r="B654" t="s">
        <v>85</v>
      </c>
      <c r="C654" t="s">
        <v>83</v>
      </c>
      <c r="D654">
        <v>15</v>
      </c>
      <c r="E654" t="s">
        <v>36</v>
      </c>
      <c r="F654" t="s">
        <v>37</v>
      </c>
      <c r="G654" t="s">
        <v>113</v>
      </c>
      <c r="H654" s="1">
        <v>46204</v>
      </c>
      <c r="I654">
        <v>90</v>
      </c>
      <c r="J654" s="1" t="s">
        <v>540</v>
      </c>
      <c r="K654" t="str">
        <f t="shared" si="10"/>
        <v>Non-Expired</v>
      </c>
    </row>
    <row r="655" spans="1:11" x14ac:dyDescent="0.3">
      <c r="A655" s="3" t="s">
        <v>507</v>
      </c>
      <c r="B655" t="s">
        <v>9</v>
      </c>
      <c r="C655" t="s">
        <v>24</v>
      </c>
      <c r="D655">
        <v>8</v>
      </c>
      <c r="E655" t="s">
        <v>41</v>
      </c>
      <c r="F655" t="s">
        <v>12</v>
      </c>
      <c r="G655" t="s">
        <v>134</v>
      </c>
      <c r="H655" s="1">
        <v>45748</v>
      </c>
      <c r="I655">
        <v>32</v>
      </c>
      <c r="J655" s="1" t="s">
        <v>540</v>
      </c>
      <c r="K655" t="str">
        <f t="shared" si="10"/>
        <v>Expired</v>
      </c>
    </row>
    <row r="656" spans="1:11" x14ac:dyDescent="0.3">
      <c r="A656" s="3" t="s">
        <v>507</v>
      </c>
      <c r="B656" t="s">
        <v>9</v>
      </c>
      <c r="C656" t="s">
        <v>125</v>
      </c>
      <c r="D656">
        <v>11</v>
      </c>
      <c r="E656" t="s">
        <v>45</v>
      </c>
      <c r="F656" t="s">
        <v>16</v>
      </c>
      <c r="G656" t="s">
        <v>184</v>
      </c>
      <c r="H656" s="1">
        <v>46388</v>
      </c>
      <c r="I656">
        <v>110</v>
      </c>
      <c r="J656" s="1" t="s">
        <v>540</v>
      </c>
      <c r="K656" t="str">
        <f t="shared" si="10"/>
        <v>Non-Expired</v>
      </c>
    </row>
    <row r="657" spans="1:11" x14ac:dyDescent="0.3">
      <c r="A657" s="3" t="s">
        <v>507</v>
      </c>
      <c r="B657" t="s">
        <v>80</v>
      </c>
      <c r="C657" t="s">
        <v>88</v>
      </c>
      <c r="D657">
        <v>23</v>
      </c>
      <c r="E657" t="s">
        <v>49</v>
      </c>
      <c r="F657" t="s">
        <v>50</v>
      </c>
      <c r="G657" t="s">
        <v>345</v>
      </c>
      <c r="H657" s="1">
        <v>46631</v>
      </c>
      <c r="I657">
        <v>115</v>
      </c>
      <c r="J657" s="1" t="s">
        <v>540</v>
      </c>
      <c r="K657" t="str">
        <f t="shared" si="10"/>
        <v>Non-Expired</v>
      </c>
    </row>
    <row r="658" spans="1:11" x14ac:dyDescent="0.3">
      <c r="A658" s="3" t="s">
        <v>508</v>
      </c>
      <c r="B658" t="s">
        <v>9</v>
      </c>
      <c r="C658" t="s">
        <v>107</v>
      </c>
      <c r="D658">
        <v>8</v>
      </c>
      <c r="E658" t="s">
        <v>52</v>
      </c>
      <c r="F658" t="s">
        <v>53</v>
      </c>
      <c r="G658" t="s">
        <v>137</v>
      </c>
      <c r="H658" s="1">
        <v>46327</v>
      </c>
      <c r="I658">
        <v>16</v>
      </c>
      <c r="J658" s="1" t="s">
        <v>540</v>
      </c>
      <c r="K658" t="str">
        <f t="shared" si="10"/>
        <v>Non-Expired</v>
      </c>
    </row>
    <row r="659" spans="1:11" x14ac:dyDescent="0.3">
      <c r="A659" s="3" t="s">
        <v>508</v>
      </c>
      <c r="B659" t="s">
        <v>47</v>
      </c>
      <c r="C659" t="s">
        <v>170</v>
      </c>
      <c r="D659">
        <v>21</v>
      </c>
      <c r="E659" t="s">
        <v>56</v>
      </c>
      <c r="F659" t="s">
        <v>53</v>
      </c>
      <c r="G659" t="s">
        <v>420</v>
      </c>
      <c r="H659" s="1">
        <v>46661</v>
      </c>
      <c r="I659">
        <v>210</v>
      </c>
      <c r="J659" s="1" t="s">
        <v>540</v>
      </c>
      <c r="K659" t="str">
        <f t="shared" si="10"/>
        <v>Non-Expired</v>
      </c>
    </row>
    <row r="660" spans="1:11" x14ac:dyDescent="0.3">
      <c r="A660" s="3" t="s">
        <v>508</v>
      </c>
      <c r="B660" t="s">
        <v>97</v>
      </c>
      <c r="C660" t="s">
        <v>48</v>
      </c>
      <c r="D660">
        <v>23</v>
      </c>
      <c r="E660" t="s">
        <v>60</v>
      </c>
      <c r="F660" t="s">
        <v>61</v>
      </c>
      <c r="G660" t="s">
        <v>346</v>
      </c>
      <c r="H660" s="1">
        <v>46600</v>
      </c>
      <c r="I660">
        <v>2760</v>
      </c>
      <c r="J660" s="1" t="s">
        <v>540</v>
      </c>
      <c r="K660" t="str">
        <f t="shared" si="10"/>
        <v>Non-Expired</v>
      </c>
    </row>
    <row r="661" spans="1:11" x14ac:dyDescent="0.3">
      <c r="A661" s="3" t="s">
        <v>508</v>
      </c>
      <c r="B661" t="s">
        <v>58</v>
      </c>
      <c r="C661" t="s">
        <v>55</v>
      </c>
      <c r="D661">
        <v>16</v>
      </c>
      <c r="E661" t="s">
        <v>63</v>
      </c>
      <c r="F661" t="s">
        <v>50</v>
      </c>
      <c r="G661" t="s">
        <v>261</v>
      </c>
      <c r="H661" s="1">
        <v>46508</v>
      </c>
      <c r="I661">
        <v>320</v>
      </c>
      <c r="J661" s="1" t="s">
        <v>540</v>
      </c>
      <c r="K661" t="str">
        <f t="shared" si="10"/>
        <v>Non-Expired</v>
      </c>
    </row>
    <row r="662" spans="1:11" x14ac:dyDescent="0.3">
      <c r="A662" s="3" t="s">
        <v>508</v>
      </c>
      <c r="B662" t="s">
        <v>58</v>
      </c>
      <c r="C662" t="s">
        <v>101</v>
      </c>
      <c r="D662">
        <v>10</v>
      </c>
      <c r="E662" t="s">
        <v>67</v>
      </c>
      <c r="F662" t="s">
        <v>68</v>
      </c>
      <c r="G662" t="s">
        <v>421</v>
      </c>
      <c r="H662" s="1">
        <v>45536</v>
      </c>
      <c r="I662">
        <v>300</v>
      </c>
      <c r="J662" s="1" t="s">
        <v>540</v>
      </c>
      <c r="K662" t="str">
        <f t="shared" si="10"/>
        <v>Expired</v>
      </c>
    </row>
    <row r="663" spans="1:11" x14ac:dyDescent="0.3">
      <c r="A663" s="3" t="s">
        <v>508</v>
      </c>
      <c r="B663" t="s">
        <v>43</v>
      </c>
      <c r="C663" t="s">
        <v>66</v>
      </c>
      <c r="D663">
        <v>6</v>
      </c>
      <c r="E663" t="s">
        <v>71</v>
      </c>
      <c r="F663" t="s">
        <v>72</v>
      </c>
      <c r="G663" t="s">
        <v>317</v>
      </c>
      <c r="H663" s="1">
        <v>46235</v>
      </c>
      <c r="I663">
        <v>240</v>
      </c>
      <c r="J663" s="1" t="s">
        <v>540</v>
      </c>
      <c r="K663" t="str">
        <f t="shared" si="10"/>
        <v>Non-Expired</v>
      </c>
    </row>
    <row r="664" spans="1:11" x14ac:dyDescent="0.3">
      <c r="A664" s="3" t="s">
        <v>508</v>
      </c>
      <c r="B664" t="s">
        <v>80</v>
      </c>
      <c r="C664" t="s">
        <v>32</v>
      </c>
      <c r="D664">
        <v>2</v>
      </c>
      <c r="E664" t="s">
        <v>75</v>
      </c>
      <c r="F664" t="s">
        <v>16</v>
      </c>
      <c r="G664" t="s">
        <v>262</v>
      </c>
      <c r="H664" s="1">
        <v>46113</v>
      </c>
      <c r="I664">
        <v>100</v>
      </c>
      <c r="J664" s="1" t="s">
        <v>540</v>
      </c>
      <c r="K664" t="str">
        <f t="shared" si="10"/>
        <v>Non-Expired</v>
      </c>
    </row>
    <row r="665" spans="1:11" x14ac:dyDescent="0.3">
      <c r="A665" s="3" t="s">
        <v>508</v>
      </c>
      <c r="B665" t="s">
        <v>9</v>
      </c>
      <c r="C665" t="s">
        <v>10</v>
      </c>
      <c r="D665">
        <v>29</v>
      </c>
      <c r="E665" t="s">
        <v>11</v>
      </c>
      <c r="F665" t="s">
        <v>12</v>
      </c>
      <c r="G665" t="s">
        <v>221</v>
      </c>
      <c r="H665" s="1">
        <v>46174</v>
      </c>
      <c r="I665">
        <v>58</v>
      </c>
      <c r="J665" s="1" t="s">
        <v>540</v>
      </c>
      <c r="K665" t="str">
        <f t="shared" si="10"/>
        <v>Non-Expired</v>
      </c>
    </row>
    <row r="666" spans="1:11" x14ac:dyDescent="0.3">
      <c r="A666" s="3" t="s">
        <v>509</v>
      </c>
      <c r="B666" t="s">
        <v>18</v>
      </c>
      <c r="C666" t="s">
        <v>170</v>
      </c>
      <c r="D666">
        <v>7</v>
      </c>
      <c r="E666" t="s">
        <v>15</v>
      </c>
      <c r="F666" t="s">
        <v>16</v>
      </c>
      <c r="G666" t="s">
        <v>341</v>
      </c>
      <c r="H666" s="1">
        <v>45505</v>
      </c>
      <c r="I666">
        <v>21</v>
      </c>
      <c r="J666" s="1" t="s">
        <v>540</v>
      </c>
      <c r="K666" t="str">
        <f t="shared" si="10"/>
        <v>Expired</v>
      </c>
    </row>
    <row r="667" spans="1:11" x14ac:dyDescent="0.3">
      <c r="A667" s="3" t="s">
        <v>509</v>
      </c>
      <c r="B667" t="s">
        <v>47</v>
      </c>
      <c r="C667" t="s">
        <v>173</v>
      </c>
      <c r="D667">
        <v>4</v>
      </c>
      <c r="E667" t="s">
        <v>20</v>
      </c>
      <c r="F667" t="s">
        <v>21</v>
      </c>
      <c r="G667" t="s">
        <v>245</v>
      </c>
      <c r="H667" s="1">
        <v>46296</v>
      </c>
      <c r="I667">
        <v>32</v>
      </c>
      <c r="J667" s="1" t="s">
        <v>540</v>
      </c>
      <c r="K667" t="str">
        <f t="shared" si="10"/>
        <v>Non-Expired</v>
      </c>
    </row>
    <row r="668" spans="1:11" x14ac:dyDescent="0.3">
      <c r="A668" s="3" t="s">
        <v>509</v>
      </c>
      <c r="B668" t="s">
        <v>39</v>
      </c>
      <c r="C668" t="s">
        <v>99</v>
      </c>
      <c r="D668">
        <v>14</v>
      </c>
      <c r="E668" t="s">
        <v>25</v>
      </c>
      <c r="F668" t="s">
        <v>26</v>
      </c>
      <c r="G668" t="s">
        <v>370</v>
      </c>
      <c r="H668" s="1">
        <v>46722</v>
      </c>
      <c r="I668">
        <v>42</v>
      </c>
      <c r="J668" s="1" t="s">
        <v>540</v>
      </c>
      <c r="K668" t="str">
        <f t="shared" si="10"/>
        <v>Non-Expired</v>
      </c>
    </row>
    <row r="669" spans="1:11" x14ac:dyDescent="0.3">
      <c r="A669" s="3" t="s">
        <v>509</v>
      </c>
      <c r="B669" t="s">
        <v>80</v>
      </c>
      <c r="C669" t="s">
        <v>66</v>
      </c>
      <c r="D669">
        <v>30</v>
      </c>
      <c r="E669" t="s">
        <v>28</v>
      </c>
      <c r="F669" t="s">
        <v>29</v>
      </c>
      <c r="G669" t="s">
        <v>165</v>
      </c>
      <c r="H669" s="1">
        <v>46569</v>
      </c>
      <c r="I669">
        <v>120</v>
      </c>
      <c r="J669" s="1" t="s">
        <v>540</v>
      </c>
      <c r="K669" t="str">
        <f t="shared" si="10"/>
        <v>Non-Expired</v>
      </c>
    </row>
    <row r="670" spans="1:11" x14ac:dyDescent="0.3">
      <c r="A670" s="3" t="s">
        <v>509</v>
      </c>
      <c r="B670" t="s">
        <v>9</v>
      </c>
      <c r="C670" t="s">
        <v>162</v>
      </c>
      <c r="D670">
        <v>24</v>
      </c>
      <c r="E670" t="s">
        <v>33</v>
      </c>
      <c r="F670" t="s">
        <v>34</v>
      </c>
      <c r="G670" t="s">
        <v>279</v>
      </c>
      <c r="H670" s="1">
        <v>46753</v>
      </c>
      <c r="I670">
        <v>120</v>
      </c>
      <c r="J670" s="1" t="s">
        <v>540</v>
      </c>
      <c r="K670" t="str">
        <f t="shared" si="10"/>
        <v>Non-Expired</v>
      </c>
    </row>
    <row r="671" spans="1:11" x14ac:dyDescent="0.3">
      <c r="A671" s="3" t="s">
        <v>509</v>
      </c>
      <c r="B671" t="s">
        <v>18</v>
      </c>
      <c r="C671" t="s">
        <v>103</v>
      </c>
      <c r="D671">
        <v>29</v>
      </c>
      <c r="E671" t="s">
        <v>36</v>
      </c>
      <c r="F671" t="s">
        <v>37</v>
      </c>
      <c r="G671" t="s">
        <v>197</v>
      </c>
      <c r="H671" s="1">
        <v>46235</v>
      </c>
      <c r="I671">
        <v>174</v>
      </c>
      <c r="J671" s="1" t="s">
        <v>540</v>
      </c>
      <c r="K671" t="str">
        <f t="shared" si="10"/>
        <v>Non-Expired</v>
      </c>
    </row>
    <row r="672" spans="1:11" x14ac:dyDescent="0.3">
      <c r="A672" s="3" t="s">
        <v>509</v>
      </c>
      <c r="B672" t="s">
        <v>9</v>
      </c>
      <c r="C672" t="s">
        <v>162</v>
      </c>
      <c r="D672">
        <v>10</v>
      </c>
      <c r="E672" t="s">
        <v>41</v>
      </c>
      <c r="F672" t="s">
        <v>12</v>
      </c>
      <c r="G672" t="s">
        <v>42</v>
      </c>
      <c r="H672" s="1">
        <v>45597</v>
      </c>
      <c r="I672">
        <v>40</v>
      </c>
      <c r="J672" s="1" t="s">
        <v>540</v>
      </c>
      <c r="K672" t="str">
        <f t="shared" si="10"/>
        <v>Expired</v>
      </c>
    </row>
    <row r="673" spans="1:11" x14ac:dyDescent="0.3">
      <c r="A673" s="3" t="s">
        <v>509</v>
      </c>
      <c r="B673" t="s">
        <v>65</v>
      </c>
      <c r="C673" t="s">
        <v>170</v>
      </c>
      <c r="D673">
        <v>15</v>
      </c>
      <c r="E673" t="s">
        <v>45</v>
      </c>
      <c r="F673" t="s">
        <v>16</v>
      </c>
      <c r="G673" t="s">
        <v>114</v>
      </c>
      <c r="H673" s="1">
        <v>46539</v>
      </c>
      <c r="I673">
        <v>150</v>
      </c>
      <c r="J673" s="1" t="s">
        <v>540</v>
      </c>
      <c r="K673" t="str">
        <f t="shared" si="10"/>
        <v>Non-Expired</v>
      </c>
    </row>
    <row r="674" spans="1:11" x14ac:dyDescent="0.3">
      <c r="A674" s="3" t="s">
        <v>510</v>
      </c>
      <c r="B674" t="s">
        <v>31</v>
      </c>
      <c r="C674" t="s">
        <v>203</v>
      </c>
      <c r="D674">
        <v>29</v>
      </c>
      <c r="E674" t="s">
        <v>49</v>
      </c>
      <c r="F674" t="s">
        <v>50</v>
      </c>
      <c r="G674" t="s">
        <v>115</v>
      </c>
      <c r="H674" s="1">
        <v>46419</v>
      </c>
      <c r="I674">
        <v>145</v>
      </c>
      <c r="J674" s="1" t="s">
        <v>540</v>
      </c>
      <c r="K674" t="str">
        <f t="shared" si="10"/>
        <v>Non-Expired</v>
      </c>
    </row>
    <row r="675" spans="1:11" x14ac:dyDescent="0.3">
      <c r="A675" s="3" t="s">
        <v>510</v>
      </c>
      <c r="B675" t="s">
        <v>9</v>
      </c>
      <c r="C675" t="s">
        <v>55</v>
      </c>
      <c r="D675">
        <v>18</v>
      </c>
      <c r="E675" t="s">
        <v>52</v>
      </c>
      <c r="F675" t="s">
        <v>53</v>
      </c>
      <c r="G675" t="s">
        <v>137</v>
      </c>
      <c r="H675" s="1">
        <v>46478</v>
      </c>
      <c r="I675">
        <v>36</v>
      </c>
      <c r="J675" s="1" t="s">
        <v>540</v>
      </c>
      <c r="K675" t="str">
        <f t="shared" si="10"/>
        <v>Non-Expired</v>
      </c>
    </row>
    <row r="676" spans="1:11" x14ac:dyDescent="0.3">
      <c r="A676" s="3" t="s">
        <v>510</v>
      </c>
      <c r="B676" t="s">
        <v>47</v>
      </c>
      <c r="C676" t="s">
        <v>119</v>
      </c>
      <c r="D676">
        <v>1</v>
      </c>
      <c r="E676" t="s">
        <v>56</v>
      </c>
      <c r="F676" t="s">
        <v>53</v>
      </c>
      <c r="G676" t="s">
        <v>417</v>
      </c>
      <c r="H676" s="1">
        <v>46082</v>
      </c>
      <c r="I676">
        <v>10</v>
      </c>
      <c r="J676" s="1" t="s">
        <v>540</v>
      </c>
      <c r="K676" t="str">
        <f t="shared" si="10"/>
        <v>Non-Expired</v>
      </c>
    </row>
    <row r="677" spans="1:11" x14ac:dyDescent="0.3">
      <c r="A677" s="3" t="s">
        <v>510</v>
      </c>
      <c r="B677" t="s">
        <v>9</v>
      </c>
      <c r="C677" t="s">
        <v>48</v>
      </c>
      <c r="D677">
        <v>6</v>
      </c>
      <c r="E677" t="s">
        <v>60</v>
      </c>
      <c r="F677" t="s">
        <v>61</v>
      </c>
      <c r="G677" t="s">
        <v>252</v>
      </c>
      <c r="H677" s="1">
        <v>46174</v>
      </c>
      <c r="I677">
        <v>720</v>
      </c>
      <c r="J677" s="1" t="s">
        <v>540</v>
      </c>
      <c r="K677" t="str">
        <f t="shared" si="10"/>
        <v>Non-Expired</v>
      </c>
    </row>
    <row r="678" spans="1:11" x14ac:dyDescent="0.3">
      <c r="A678" s="3" t="s">
        <v>510</v>
      </c>
      <c r="B678" t="s">
        <v>47</v>
      </c>
      <c r="C678" t="s">
        <v>170</v>
      </c>
      <c r="D678">
        <v>9</v>
      </c>
      <c r="E678" t="s">
        <v>63</v>
      </c>
      <c r="F678" t="s">
        <v>50</v>
      </c>
      <c r="G678" t="s">
        <v>261</v>
      </c>
      <c r="H678" s="1">
        <v>46447</v>
      </c>
      <c r="I678">
        <v>180</v>
      </c>
      <c r="J678" s="1" t="s">
        <v>540</v>
      </c>
      <c r="K678" t="str">
        <f t="shared" si="10"/>
        <v>Non-Expired</v>
      </c>
    </row>
    <row r="679" spans="1:11" x14ac:dyDescent="0.3">
      <c r="A679" s="3" t="s">
        <v>510</v>
      </c>
      <c r="B679" t="s">
        <v>23</v>
      </c>
      <c r="C679" t="s">
        <v>88</v>
      </c>
      <c r="D679">
        <v>21</v>
      </c>
      <c r="E679" t="s">
        <v>67</v>
      </c>
      <c r="F679" t="s">
        <v>68</v>
      </c>
      <c r="G679" t="s">
        <v>422</v>
      </c>
      <c r="H679" s="1">
        <v>45261</v>
      </c>
      <c r="I679">
        <v>630</v>
      </c>
      <c r="J679" s="1" t="s">
        <v>540</v>
      </c>
      <c r="K679" t="str">
        <f t="shared" si="10"/>
        <v>Expired</v>
      </c>
    </row>
    <row r="680" spans="1:11" x14ac:dyDescent="0.3">
      <c r="A680" s="3" t="s">
        <v>510</v>
      </c>
      <c r="B680" t="s">
        <v>9</v>
      </c>
      <c r="C680" t="s">
        <v>70</v>
      </c>
      <c r="D680">
        <v>9</v>
      </c>
      <c r="E680" t="s">
        <v>71</v>
      </c>
      <c r="F680" t="s">
        <v>72</v>
      </c>
      <c r="G680" t="s">
        <v>176</v>
      </c>
      <c r="H680" s="1">
        <v>46631</v>
      </c>
      <c r="I680">
        <v>360</v>
      </c>
      <c r="J680" s="1" t="s">
        <v>540</v>
      </c>
      <c r="K680" t="str">
        <f t="shared" si="10"/>
        <v>Non-Expired</v>
      </c>
    </row>
    <row r="681" spans="1:11" x14ac:dyDescent="0.3">
      <c r="A681" s="3" t="s">
        <v>510</v>
      </c>
      <c r="B681" t="s">
        <v>92</v>
      </c>
      <c r="C681" t="s">
        <v>88</v>
      </c>
      <c r="D681">
        <v>17</v>
      </c>
      <c r="E681" t="s">
        <v>75</v>
      </c>
      <c r="F681" t="s">
        <v>16</v>
      </c>
      <c r="G681" t="s">
        <v>423</v>
      </c>
      <c r="H681" s="1">
        <v>46447</v>
      </c>
      <c r="I681">
        <v>850</v>
      </c>
      <c r="J681" s="1" t="s">
        <v>540</v>
      </c>
      <c r="K681" t="str">
        <f t="shared" si="10"/>
        <v>Non-Expired</v>
      </c>
    </row>
    <row r="682" spans="1:11" x14ac:dyDescent="0.3">
      <c r="A682" s="3" t="s">
        <v>511</v>
      </c>
      <c r="B682" t="s">
        <v>65</v>
      </c>
      <c r="C682" t="s">
        <v>170</v>
      </c>
      <c r="D682">
        <v>4</v>
      </c>
      <c r="E682" t="s">
        <v>11</v>
      </c>
      <c r="F682" t="s">
        <v>12</v>
      </c>
      <c r="G682" t="s">
        <v>424</v>
      </c>
      <c r="H682" s="1">
        <v>46600</v>
      </c>
      <c r="I682">
        <v>8</v>
      </c>
      <c r="J682" s="1" t="s">
        <v>540</v>
      </c>
      <c r="K682" t="str">
        <f t="shared" si="10"/>
        <v>Non-Expired</v>
      </c>
    </row>
    <row r="683" spans="1:11" x14ac:dyDescent="0.3">
      <c r="A683" s="3" t="s">
        <v>511</v>
      </c>
      <c r="B683" t="s">
        <v>23</v>
      </c>
      <c r="C683" t="s">
        <v>88</v>
      </c>
      <c r="D683">
        <v>8</v>
      </c>
      <c r="E683" t="s">
        <v>15</v>
      </c>
      <c r="F683" t="s">
        <v>16</v>
      </c>
      <c r="G683" t="s">
        <v>207</v>
      </c>
      <c r="H683" s="1">
        <v>46143</v>
      </c>
      <c r="I683">
        <v>24</v>
      </c>
      <c r="J683" s="1" t="s">
        <v>540</v>
      </c>
      <c r="K683" t="str">
        <f t="shared" si="10"/>
        <v>Non-Expired</v>
      </c>
    </row>
    <row r="684" spans="1:11" x14ac:dyDescent="0.3">
      <c r="A684" s="3" t="s">
        <v>511</v>
      </c>
      <c r="B684" t="s">
        <v>90</v>
      </c>
      <c r="C684" t="s">
        <v>210</v>
      </c>
      <c r="D684">
        <v>17</v>
      </c>
      <c r="E684" t="s">
        <v>20</v>
      </c>
      <c r="F684" t="s">
        <v>21</v>
      </c>
      <c r="G684" t="s">
        <v>208</v>
      </c>
      <c r="H684" s="1">
        <v>46569</v>
      </c>
      <c r="I684">
        <v>136</v>
      </c>
      <c r="J684" s="1" t="s">
        <v>540</v>
      </c>
      <c r="K684" t="str">
        <f t="shared" si="10"/>
        <v>Non-Expired</v>
      </c>
    </row>
    <row r="685" spans="1:11" x14ac:dyDescent="0.3">
      <c r="A685" s="3" t="s">
        <v>511</v>
      </c>
      <c r="B685" t="s">
        <v>90</v>
      </c>
      <c r="C685" t="s">
        <v>125</v>
      </c>
      <c r="D685">
        <v>24</v>
      </c>
      <c r="E685" t="s">
        <v>25</v>
      </c>
      <c r="F685" t="s">
        <v>26</v>
      </c>
      <c r="G685" t="s">
        <v>224</v>
      </c>
      <c r="H685" s="1">
        <v>45231</v>
      </c>
      <c r="I685">
        <v>72</v>
      </c>
      <c r="J685" s="1" t="s">
        <v>540</v>
      </c>
      <c r="K685" t="str">
        <f t="shared" si="10"/>
        <v>Expired</v>
      </c>
    </row>
    <row r="686" spans="1:11" x14ac:dyDescent="0.3">
      <c r="A686" s="3" t="s">
        <v>511</v>
      </c>
      <c r="B686" t="s">
        <v>85</v>
      </c>
      <c r="C686" t="s">
        <v>83</v>
      </c>
      <c r="D686">
        <v>3</v>
      </c>
      <c r="E686" t="s">
        <v>28</v>
      </c>
      <c r="F686" t="s">
        <v>29</v>
      </c>
      <c r="G686" t="s">
        <v>297</v>
      </c>
      <c r="H686" s="1">
        <v>46235</v>
      </c>
      <c r="I686">
        <v>12</v>
      </c>
      <c r="J686" s="1" t="s">
        <v>540</v>
      </c>
      <c r="K686" t="str">
        <f t="shared" si="10"/>
        <v>Non-Expired</v>
      </c>
    </row>
    <row r="687" spans="1:11" x14ac:dyDescent="0.3">
      <c r="A687" s="3" t="s">
        <v>511</v>
      </c>
      <c r="B687" t="s">
        <v>9</v>
      </c>
      <c r="C687" t="s">
        <v>83</v>
      </c>
      <c r="D687">
        <v>10</v>
      </c>
      <c r="E687" t="s">
        <v>33</v>
      </c>
      <c r="F687" t="s">
        <v>34</v>
      </c>
      <c r="G687" t="s">
        <v>333</v>
      </c>
      <c r="H687" s="1">
        <v>46327</v>
      </c>
      <c r="I687">
        <v>50</v>
      </c>
      <c r="J687" s="1" t="s">
        <v>540</v>
      </c>
      <c r="K687" t="str">
        <f t="shared" si="10"/>
        <v>Non-Expired</v>
      </c>
    </row>
    <row r="688" spans="1:11" x14ac:dyDescent="0.3">
      <c r="A688" s="3" t="s">
        <v>511</v>
      </c>
      <c r="B688" t="s">
        <v>80</v>
      </c>
      <c r="C688" t="s">
        <v>88</v>
      </c>
      <c r="D688">
        <v>23</v>
      </c>
      <c r="E688" t="s">
        <v>36</v>
      </c>
      <c r="F688" t="s">
        <v>37</v>
      </c>
      <c r="G688" t="s">
        <v>151</v>
      </c>
      <c r="H688" s="1">
        <v>46266</v>
      </c>
      <c r="I688">
        <v>138</v>
      </c>
      <c r="J688" s="1" t="s">
        <v>540</v>
      </c>
      <c r="K688" t="str">
        <f t="shared" si="10"/>
        <v>Non-Expired</v>
      </c>
    </row>
    <row r="689" spans="1:11" x14ac:dyDescent="0.3">
      <c r="A689" s="3" t="s">
        <v>511</v>
      </c>
      <c r="B689" t="s">
        <v>9</v>
      </c>
      <c r="C689" t="s">
        <v>48</v>
      </c>
      <c r="D689">
        <v>16</v>
      </c>
      <c r="E689" t="s">
        <v>41</v>
      </c>
      <c r="F689" t="s">
        <v>12</v>
      </c>
      <c r="G689" t="s">
        <v>238</v>
      </c>
      <c r="H689" s="1">
        <v>46296</v>
      </c>
      <c r="I689">
        <v>64</v>
      </c>
      <c r="J689" s="1" t="s">
        <v>540</v>
      </c>
      <c r="K689" t="str">
        <f t="shared" si="10"/>
        <v>Non-Expired</v>
      </c>
    </row>
    <row r="690" spans="1:11" x14ac:dyDescent="0.3">
      <c r="A690" s="3" t="s">
        <v>512</v>
      </c>
      <c r="B690" t="s">
        <v>80</v>
      </c>
      <c r="C690" t="s">
        <v>170</v>
      </c>
      <c r="D690">
        <v>12</v>
      </c>
      <c r="E690" t="s">
        <v>45</v>
      </c>
      <c r="F690" t="s">
        <v>16</v>
      </c>
      <c r="G690" t="s">
        <v>239</v>
      </c>
      <c r="H690" s="1">
        <v>45689</v>
      </c>
      <c r="I690">
        <v>120</v>
      </c>
      <c r="J690" s="1" t="s">
        <v>540</v>
      </c>
      <c r="K690" t="str">
        <f t="shared" si="10"/>
        <v>Expired</v>
      </c>
    </row>
    <row r="691" spans="1:11" x14ac:dyDescent="0.3">
      <c r="A691" s="3" t="s">
        <v>512</v>
      </c>
      <c r="B691" t="s">
        <v>92</v>
      </c>
      <c r="C691" t="s">
        <v>214</v>
      </c>
      <c r="D691">
        <v>16</v>
      </c>
      <c r="E691" t="s">
        <v>49</v>
      </c>
      <c r="F691" t="s">
        <v>50</v>
      </c>
      <c r="G691" t="s">
        <v>228</v>
      </c>
      <c r="H691" s="1">
        <v>46054</v>
      </c>
      <c r="I691">
        <v>80</v>
      </c>
      <c r="J691" s="1" t="s">
        <v>540</v>
      </c>
      <c r="K691" t="str">
        <f t="shared" si="10"/>
        <v>Non-Expired</v>
      </c>
    </row>
    <row r="692" spans="1:11" x14ac:dyDescent="0.3">
      <c r="A692" s="3" t="s">
        <v>512</v>
      </c>
      <c r="B692" t="s">
        <v>90</v>
      </c>
      <c r="C692" t="s">
        <v>32</v>
      </c>
      <c r="D692">
        <v>21</v>
      </c>
      <c r="E692" t="s">
        <v>52</v>
      </c>
      <c r="F692" t="s">
        <v>53</v>
      </c>
      <c r="G692" t="s">
        <v>336</v>
      </c>
      <c r="H692" s="1">
        <v>46569</v>
      </c>
      <c r="I692">
        <v>42</v>
      </c>
      <c r="J692" s="1" t="s">
        <v>540</v>
      </c>
      <c r="K692" t="str">
        <f t="shared" si="10"/>
        <v>Non-Expired</v>
      </c>
    </row>
    <row r="693" spans="1:11" x14ac:dyDescent="0.3">
      <c r="A693" s="3" t="s">
        <v>512</v>
      </c>
      <c r="B693" t="s">
        <v>90</v>
      </c>
      <c r="C693" t="s">
        <v>214</v>
      </c>
      <c r="D693">
        <v>12</v>
      </c>
      <c r="E693" t="s">
        <v>56</v>
      </c>
      <c r="F693" t="s">
        <v>53</v>
      </c>
      <c r="G693" t="s">
        <v>301</v>
      </c>
      <c r="H693" s="1">
        <v>46204</v>
      </c>
      <c r="I693">
        <v>120</v>
      </c>
      <c r="J693" s="1" t="s">
        <v>540</v>
      </c>
      <c r="K693" t="str">
        <f t="shared" si="10"/>
        <v>Non-Expired</v>
      </c>
    </row>
    <row r="694" spans="1:11" x14ac:dyDescent="0.3">
      <c r="A694" s="3" t="s">
        <v>512</v>
      </c>
      <c r="B694" t="s">
        <v>39</v>
      </c>
      <c r="C694" t="s">
        <v>66</v>
      </c>
      <c r="D694">
        <v>14</v>
      </c>
      <c r="E694" t="s">
        <v>60</v>
      </c>
      <c r="F694" t="s">
        <v>61</v>
      </c>
      <c r="G694" t="s">
        <v>357</v>
      </c>
      <c r="H694" s="1">
        <v>46204</v>
      </c>
      <c r="I694">
        <v>1680</v>
      </c>
      <c r="J694" s="1" t="s">
        <v>540</v>
      </c>
      <c r="K694" t="str">
        <f t="shared" si="10"/>
        <v>Non-Expired</v>
      </c>
    </row>
    <row r="695" spans="1:11" x14ac:dyDescent="0.3">
      <c r="A695" s="3" t="s">
        <v>512</v>
      </c>
      <c r="B695" t="s">
        <v>31</v>
      </c>
      <c r="C695" t="s">
        <v>40</v>
      </c>
      <c r="D695">
        <v>12</v>
      </c>
      <c r="E695" t="s">
        <v>63</v>
      </c>
      <c r="F695" t="s">
        <v>50</v>
      </c>
      <c r="G695" t="s">
        <v>398</v>
      </c>
      <c r="H695" s="1">
        <v>45566</v>
      </c>
      <c r="I695">
        <v>240</v>
      </c>
      <c r="J695" s="1" t="s">
        <v>540</v>
      </c>
      <c r="K695" t="str">
        <f t="shared" si="10"/>
        <v>Expired</v>
      </c>
    </row>
    <row r="696" spans="1:11" x14ac:dyDescent="0.3">
      <c r="A696" s="3" t="s">
        <v>512</v>
      </c>
      <c r="B696" t="s">
        <v>92</v>
      </c>
      <c r="C696" t="s">
        <v>88</v>
      </c>
      <c r="D696">
        <v>10</v>
      </c>
      <c r="E696" t="s">
        <v>67</v>
      </c>
      <c r="F696" t="s">
        <v>68</v>
      </c>
      <c r="G696" t="s">
        <v>425</v>
      </c>
      <c r="H696" s="1">
        <v>46266</v>
      </c>
      <c r="I696">
        <v>300</v>
      </c>
      <c r="J696" s="1" t="s">
        <v>540</v>
      </c>
      <c r="K696" t="str">
        <f t="shared" si="10"/>
        <v>Non-Expired</v>
      </c>
    </row>
    <row r="697" spans="1:11" x14ac:dyDescent="0.3">
      <c r="A697" s="3" t="s">
        <v>512</v>
      </c>
      <c r="B697" t="s">
        <v>18</v>
      </c>
      <c r="C697" t="s">
        <v>214</v>
      </c>
      <c r="D697">
        <v>19</v>
      </c>
      <c r="E697" t="s">
        <v>71</v>
      </c>
      <c r="F697" t="s">
        <v>72</v>
      </c>
      <c r="G697" t="s">
        <v>426</v>
      </c>
      <c r="H697" s="1">
        <v>46357</v>
      </c>
      <c r="I697">
        <v>760</v>
      </c>
      <c r="J697" s="1" t="s">
        <v>540</v>
      </c>
      <c r="K697" t="str">
        <f t="shared" si="10"/>
        <v>Non-Expired</v>
      </c>
    </row>
    <row r="698" spans="1:11" x14ac:dyDescent="0.3">
      <c r="A698" s="3" t="s">
        <v>513</v>
      </c>
      <c r="B698" t="s">
        <v>9</v>
      </c>
      <c r="C698" t="s">
        <v>66</v>
      </c>
      <c r="D698">
        <v>2</v>
      </c>
      <c r="E698" t="s">
        <v>75</v>
      </c>
      <c r="F698" t="s">
        <v>16</v>
      </c>
      <c r="G698" t="s">
        <v>262</v>
      </c>
      <c r="H698" s="1">
        <v>46722</v>
      </c>
      <c r="I698">
        <v>100</v>
      </c>
      <c r="J698" s="1" t="s">
        <v>540</v>
      </c>
      <c r="K698" t="str">
        <f t="shared" si="10"/>
        <v>Non-Expired</v>
      </c>
    </row>
    <row r="699" spans="1:11" x14ac:dyDescent="0.3">
      <c r="A699" s="3" t="s">
        <v>513</v>
      </c>
      <c r="B699" t="s">
        <v>9</v>
      </c>
      <c r="C699" t="s">
        <v>99</v>
      </c>
      <c r="D699">
        <v>9</v>
      </c>
      <c r="E699" t="s">
        <v>11</v>
      </c>
      <c r="F699" t="s">
        <v>12</v>
      </c>
      <c r="G699" t="s">
        <v>177</v>
      </c>
      <c r="H699" s="1">
        <v>46296</v>
      </c>
      <c r="I699">
        <v>18</v>
      </c>
      <c r="J699" s="1" t="s">
        <v>540</v>
      </c>
      <c r="K699" t="str">
        <f t="shared" si="10"/>
        <v>Non-Expired</v>
      </c>
    </row>
    <row r="700" spans="1:11" x14ac:dyDescent="0.3">
      <c r="A700" s="3" t="s">
        <v>513</v>
      </c>
      <c r="B700" t="s">
        <v>9</v>
      </c>
      <c r="C700" t="s">
        <v>19</v>
      </c>
      <c r="D700">
        <v>21</v>
      </c>
      <c r="E700" t="s">
        <v>15</v>
      </c>
      <c r="F700" t="s">
        <v>16</v>
      </c>
      <c r="G700" t="s">
        <v>163</v>
      </c>
      <c r="H700" s="1">
        <v>45778</v>
      </c>
      <c r="I700">
        <v>63</v>
      </c>
      <c r="J700" s="1" t="s">
        <v>540</v>
      </c>
      <c r="K700" t="str">
        <f t="shared" si="10"/>
        <v>Expired</v>
      </c>
    </row>
    <row r="701" spans="1:11" x14ac:dyDescent="0.3">
      <c r="A701" s="3" t="s">
        <v>513</v>
      </c>
      <c r="B701" t="s">
        <v>80</v>
      </c>
      <c r="C701" t="s">
        <v>101</v>
      </c>
      <c r="D701">
        <v>3</v>
      </c>
      <c r="E701" t="s">
        <v>20</v>
      </c>
      <c r="F701" t="s">
        <v>21</v>
      </c>
      <c r="G701" t="s">
        <v>146</v>
      </c>
      <c r="H701" s="1">
        <v>46569</v>
      </c>
      <c r="I701">
        <v>24</v>
      </c>
      <c r="J701" s="1" t="s">
        <v>540</v>
      </c>
      <c r="K701" t="str">
        <f t="shared" si="10"/>
        <v>Non-Expired</v>
      </c>
    </row>
    <row r="702" spans="1:11" x14ac:dyDescent="0.3">
      <c r="A702" s="3" t="s">
        <v>513</v>
      </c>
      <c r="B702" t="s">
        <v>9</v>
      </c>
      <c r="C702" t="s">
        <v>103</v>
      </c>
      <c r="D702">
        <v>11</v>
      </c>
      <c r="E702" t="s">
        <v>25</v>
      </c>
      <c r="F702" t="s">
        <v>26</v>
      </c>
      <c r="G702" t="s">
        <v>164</v>
      </c>
      <c r="H702" s="1">
        <v>46113</v>
      </c>
      <c r="I702">
        <v>33</v>
      </c>
      <c r="J702" s="1" t="s">
        <v>540</v>
      </c>
      <c r="K702" t="str">
        <f t="shared" si="10"/>
        <v>Non-Expired</v>
      </c>
    </row>
    <row r="703" spans="1:11" x14ac:dyDescent="0.3">
      <c r="A703" s="3" t="s">
        <v>513</v>
      </c>
      <c r="B703" t="s">
        <v>9</v>
      </c>
      <c r="C703" t="s">
        <v>83</v>
      </c>
      <c r="D703">
        <v>30</v>
      </c>
      <c r="E703" t="s">
        <v>28</v>
      </c>
      <c r="F703" t="s">
        <v>29</v>
      </c>
      <c r="G703" t="s">
        <v>196</v>
      </c>
      <c r="H703" s="1">
        <v>46357</v>
      </c>
      <c r="I703">
        <v>120</v>
      </c>
      <c r="J703" s="1" t="s">
        <v>540</v>
      </c>
      <c r="K703" t="str">
        <f t="shared" si="10"/>
        <v>Non-Expired</v>
      </c>
    </row>
    <row r="704" spans="1:11" x14ac:dyDescent="0.3">
      <c r="A704" s="3" t="s">
        <v>513</v>
      </c>
      <c r="B704" t="s">
        <v>9</v>
      </c>
      <c r="C704" t="s">
        <v>40</v>
      </c>
      <c r="D704">
        <v>11</v>
      </c>
      <c r="E704" t="s">
        <v>33</v>
      </c>
      <c r="F704" t="s">
        <v>34</v>
      </c>
      <c r="G704" t="s">
        <v>401</v>
      </c>
      <c r="H704" s="1">
        <v>45689</v>
      </c>
      <c r="I704">
        <v>55</v>
      </c>
      <c r="J704" s="1" t="s">
        <v>540</v>
      </c>
      <c r="K704" t="str">
        <f t="shared" si="10"/>
        <v>Expired</v>
      </c>
    </row>
    <row r="705" spans="1:11" x14ac:dyDescent="0.3">
      <c r="A705" s="3" t="s">
        <v>513</v>
      </c>
      <c r="B705" t="s">
        <v>9</v>
      </c>
      <c r="C705" t="s">
        <v>107</v>
      </c>
      <c r="D705">
        <v>17</v>
      </c>
      <c r="E705" t="s">
        <v>36</v>
      </c>
      <c r="F705" t="s">
        <v>37</v>
      </c>
      <c r="G705" t="s">
        <v>299</v>
      </c>
      <c r="H705" s="1">
        <v>46569</v>
      </c>
      <c r="I705">
        <v>102</v>
      </c>
      <c r="J705" s="1" t="s">
        <v>540</v>
      </c>
      <c r="K705" t="str">
        <f t="shared" si="10"/>
        <v>Non-Expired</v>
      </c>
    </row>
    <row r="706" spans="1:11" x14ac:dyDescent="0.3">
      <c r="A706" s="3" t="s">
        <v>514</v>
      </c>
      <c r="B706" t="s">
        <v>18</v>
      </c>
      <c r="C706" t="s">
        <v>40</v>
      </c>
      <c r="D706">
        <v>30</v>
      </c>
      <c r="E706" t="s">
        <v>41</v>
      </c>
      <c r="F706" t="s">
        <v>12</v>
      </c>
      <c r="G706" t="s">
        <v>379</v>
      </c>
      <c r="H706" s="1">
        <v>46296</v>
      </c>
      <c r="I706">
        <v>120</v>
      </c>
      <c r="J706" s="1" t="s">
        <v>540</v>
      </c>
      <c r="K706" t="str">
        <f t="shared" si="10"/>
        <v>Non-Expired</v>
      </c>
    </row>
    <row r="707" spans="1:11" x14ac:dyDescent="0.3">
      <c r="A707" s="3" t="s">
        <v>514</v>
      </c>
      <c r="B707" t="s">
        <v>9</v>
      </c>
      <c r="C707" t="s">
        <v>24</v>
      </c>
      <c r="D707">
        <v>10</v>
      </c>
      <c r="E707" t="s">
        <v>45</v>
      </c>
      <c r="F707" t="s">
        <v>16</v>
      </c>
      <c r="G707" t="s">
        <v>114</v>
      </c>
      <c r="H707" s="1">
        <v>46753</v>
      </c>
      <c r="I707">
        <v>100</v>
      </c>
      <c r="J707" s="1" t="s">
        <v>540</v>
      </c>
      <c r="K707" t="str">
        <f t="shared" ref="K707:K770" si="11">IF(H707&lt;=DATE(2025,5,5),"Expired","Non-Expired")</f>
        <v>Non-Expired</v>
      </c>
    </row>
    <row r="708" spans="1:11" x14ac:dyDescent="0.3">
      <c r="A708" s="3" t="s">
        <v>514</v>
      </c>
      <c r="B708" t="s">
        <v>9</v>
      </c>
      <c r="C708" t="s">
        <v>162</v>
      </c>
      <c r="D708">
        <v>13</v>
      </c>
      <c r="E708" t="s">
        <v>49</v>
      </c>
      <c r="F708" t="s">
        <v>50</v>
      </c>
      <c r="G708" t="s">
        <v>391</v>
      </c>
      <c r="H708" s="1">
        <v>46296</v>
      </c>
      <c r="I708">
        <v>65</v>
      </c>
      <c r="J708" s="1" t="s">
        <v>540</v>
      </c>
      <c r="K708" t="str">
        <f t="shared" si="11"/>
        <v>Non-Expired</v>
      </c>
    </row>
    <row r="709" spans="1:11" x14ac:dyDescent="0.3">
      <c r="A709" s="3" t="s">
        <v>514</v>
      </c>
      <c r="B709" t="s">
        <v>47</v>
      </c>
      <c r="C709" t="s">
        <v>154</v>
      </c>
      <c r="D709">
        <v>29</v>
      </c>
      <c r="E709" t="s">
        <v>52</v>
      </c>
      <c r="F709" t="s">
        <v>53</v>
      </c>
      <c r="G709" t="s">
        <v>116</v>
      </c>
      <c r="H709" s="1">
        <v>45870</v>
      </c>
      <c r="I709">
        <v>58</v>
      </c>
      <c r="J709" s="1" t="s">
        <v>540</v>
      </c>
      <c r="K709" t="str">
        <f t="shared" si="11"/>
        <v>Non-Expired</v>
      </c>
    </row>
    <row r="710" spans="1:11" x14ac:dyDescent="0.3">
      <c r="A710" s="3" t="s">
        <v>514</v>
      </c>
      <c r="B710" t="s">
        <v>92</v>
      </c>
      <c r="C710" t="s">
        <v>19</v>
      </c>
      <c r="D710">
        <v>2</v>
      </c>
      <c r="E710" t="s">
        <v>56</v>
      </c>
      <c r="F710" t="s">
        <v>53</v>
      </c>
      <c r="G710" t="s">
        <v>95</v>
      </c>
      <c r="H710" s="1">
        <v>46419</v>
      </c>
      <c r="I710">
        <v>20</v>
      </c>
      <c r="J710" s="1" t="s">
        <v>540</v>
      </c>
      <c r="K710" t="str">
        <f t="shared" si="11"/>
        <v>Non-Expired</v>
      </c>
    </row>
    <row r="711" spans="1:11" x14ac:dyDescent="0.3">
      <c r="A711" s="3" t="s">
        <v>514</v>
      </c>
      <c r="B711" t="s">
        <v>39</v>
      </c>
      <c r="C711" t="s">
        <v>99</v>
      </c>
      <c r="D711">
        <v>24</v>
      </c>
      <c r="E711" t="s">
        <v>60</v>
      </c>
      <c r="F711" t="s">
        <v>61</v>
      </c>
      <c r="G711" t="s">
        <v>252</v>
      </c>
      <c r="H711" s="1">
        <v>46600</v>
      </c>
      <c r="I711">
        <v>2880</v>
      </c>
      <c r="J711" s="1" t="s">
        <v>540</v>
      </c>
      <c r="K711" t="str">
        <f t="shared" si="11"/>
        <v>Non-Expired</v>
      </c>
    </row>
    <row r="712" spans="1:11" x14ac:dyDescent="0.3">
      <c r="A712" s="3" t="s">
        <v>514</v>
      </c>
      <c r="B712" t="s">
        <v>80</v>
      </c>
      <c r="C712" t="s">
        <v>40</v>
      </c>
      <c r="D712">
        <v>25</v>
      </c>
      <c r="E712" t="s">
        <v>63</v>
      </c>
      <c r="F712" t="s">
        <v>50</v>
      </c>
      <c r="G712" t="s">
        <v>241</v>
      </c>
      <c r="H712" s="1">
        <v>46631</v>
      </c>
      <c r="I712">
        <v>500</v>
      </c>
      <c r="J712" s="1" t="s">
        <v>540</v>
      </c>
      <c r="K712" t="str">
        <f t="shared" si="11"/>
        <v>Non-Expired</v>
      </c>
    </row>
    <row r="713" spans="1:11" x14ac:dyDescent="0.3">
      <c r="A713" s="3" t="s">
        <v>514</v>
      </c>
      <c r="B713" t="s">
        <v>97</v>
      </c>
      <c r="C713" t="s">
        <v>112</v>
      </c>
      <c r="D713">
        <v>23</v>
      </c>
      <c r="E713" t="s">
        <v>67</v>
      </c>
      <c r="F713" t="s">
        <v>68</v>
      </c>
      <c r="G713" t="s">
        <v>232</v>
      </c>
      <c r="H713" s="1">
        <v>46478</v>
      </c>
      <c r="I713">
        <v>690</v>
      </c>
      <c r="J713" s="1" t="s">
        <v>540</v>
      </c>
      <c r="K713" t="str">
        <f t="shared" si="11"/>
        <v>Non-Expired</v>
      </c>
    </row>
    <row r="714" spans="1:11" x14ac:dyDescent="0.3">
      <c r="A714" s="3" t="s">
        <v>515</v>
      </c>
      <c r="B714" t="s">
        <v>9</v>
      </c>
      <c r="C714" t="s">
        <v>154</v>
      </c>
      <c r="D714">
        <v>6</v>
      </c>
      <c r="E714" t="s">
        <v>71</v>
      </c>
      <c r="F714" t="s">
        <v>72</v>
      </c>
      <c r="G714" t="s">
        <v>427</v>
      </c>
      <c r="H714" s="1">
        <v>46419</v>
      </c>
      <c r="I714">
        <v>240</v>
      </c>
      <c r="J714" s="1" t="s">
        <v>540</v>
      </c>
      <c r="K714" t="str">
        <f t="shared" si="11"/>
        <v>Non-Expired</v>
      </c>
    </row>
    <row r="715" spans="1:11" x14ac:dyDescent="0.3">
      <c r="A715" s="3" t="s">
        <v>515</v>
      </c>
      <c r="B715" t="s">
        <v>9</v>
      </c>
      <c r="C715" t="s">
        <v>173</v>
      </c>
      <c r="D715">
        <v>4</v>
      </c>
      <c r="E715" t="s">
        <v>75</v>
      </c>
      <c r="F715" t="s">
        <v>16</v>
      </c>
      <c r="G715" t="s">
        <v>262</v>
      </c>
      <c r="H715" s="1">
        <v>45962</v>
      </c>
      <c r="I715">
        <v>200</v>
      </c>
      <c r="J715" s="1" t="s">
        <v>540</v>
      </c>
      <c r="K715" t="str">
        <f t="shared" si="11"/>
        <v>Non-Expired</v>
      </c>
    </row>
    <row r="716" spans="1:11" x14ac:dyDescent="0.3">
      <c r="A716" s="3" t="s">
        <v>515</v>
      </c>
      <c r="B716" t="s">
        <v>9</v>
      </c>
      <c r="C716" t="s">
        <v>170</v>
      </c>
      <c r="D716">
        <v>30</v>
      </c>
      <c r="E716" t="s">
        <v>11</v>
      </c>
      <c r="F716" t="s">
        <v>12</v>
      </c>
      <c r="G716" t="s">
        <v>206</v>
      </c>
      <c r="H716" s="1">
        <v>46631</v>
      </c>
      <c r="I716">
        <v>60</v>
      </c>
      <c r="J716" s="1" t="s">
        <v>540</v>
      </c>
      <c r="K716" t="str">
        <f t="shared" si="11"/>
        <v>Non-Expired</v>
      </c>
    </row>
    <row r="717" spans="1:11" x14ac:dyDescent="0.3">
      <c r="A717" s="3" t="s">
        <v>515</v>
      </c>
      <c r="B717" t="s">
        <v>9</v>
      </c>
      <c r="C717" t="s">
        <v>154</v>
      </c>
      <c r="D717">
        <v>21</v>
      </c>
      <c r="E717" t="s">
        <v>15</v>
      </c>
      <c r="F717" t="s">
        <v>16</v>
      </c>
      <c r="G717" t="s">
        <v>244</v>
      </c>
      <c r="H717" s="1">
        <v>46204</v>
      </c>
      <c r="I717">
        <v>63</v>
      </c>
      <c r="J717" s="1" t="s">
        <v>540</v>
      </c>
      <c r="K717" t="str">
        <f t="shared" si="11"/>
        <v>Non-Expired</v>
      </c>
    </row>
    <row r="718" spans="1:11" x14ac:dyDescent="0.3">
      <c r="A718" s="3" t="s">
        <v>515</v>
      </c>
      <c r="B718" t="s">
        <v>90</v>
      </c>
      <c r="C718" t="s">
        <v>14</v>
      </c>
      <c r="D718">
        <v>8</v>
      </c>
      <c r="E718" t="s">
        <v>20</v>
      </c>
      <c r="F718" t="s">
        <v>21</v>
      </c>
      <c r="G718" t="s">
        <v>258</v>
      </c>
      <c r="H718" s="1">
        <v>46447</v>
      </c>
      <c r="I718">
        <v>64</v>
      </c>
      <c r="J718" s="1" t="s">
        <v>540</v>
      </c>
      <c r="K718" t="str">
        <f t="shared" si="11"/>
        <v>Non-Expired</v>
      </c>
    </row>
    <row r="719" spans="1:11" x14ac:dyDescent="0.3">
      <c r="A719" s="3" t="s">
        <v>515</v>
      </c>
      <c r="B719" t="s">
        <v>65</v>
      </c>
      <c r="C719" t="s">
        <v>149</v>
      </c>
      <c r="D719">
        <v>22</v>
      </c>
      <c r="E719" t="s">
        <v>25</v>
      </c>
      <c r="F719" t="s">
        <v>26</v>
      </c>
      <c r="G719" t="s">
        <v>164</v>
      </c>
      <c r="H719" s="1">
        <v>46478</v>
      </c>
      <c r="I719">
        <v>66</v>
      </c>
      <c r="J719" s="1" t="s">
        <v>540</v>
      </c>
      <c r="K719" t="str">
        <f t="shared" si="11"/>
        <v>Non-Expired</v>
      </c>
    </row>
    <row r="720" spans="1:11" x14ac:dyDescent="0.3">
      <c r="A720" s="3" t="s">
        <v>515</v>
      </c>
      <c r="B720" t="s">
        <v>9</v>
      </c>
      <c r="C720" t="s">
        <v>210</v>
      </c>
      <c r="D720">
        <v>10</v>
      </c>
      <c r="E720" t="s">
        <v>28</v>
      </c>
      <c r="F720" t="s">
        <v>29</v>
      </c>
      <c r="G720" t="s">
        <v>196</v>
      </c>
      <c r="H720" s="1">
        <v>46174</v>
      </c>
      <c r="I720">
        <v>40</v>
      </c>
      <c r="J720" s="1" t="s">
        <v>540</v>
      </c>
      <c r="K720" t="str">
        <f t="shared" si="11"/>
        <v>Non-Expired</v>
      </c>
    </row>
    <row r="721" spans="1:11" x14ac:dyDescent="0.3">
      <c r="A721" s="3" t="s">
        <v>515</v>
      </c>
      <c r="B721" t="s">
        <v>23</v>
      </c>
      <c r="C721" t="s">
        <v>74</v>
      </c>
      <c r="D721">
        <v>22</v>
      </c>
      <c r="E721" t="s">
        <v>33</v>
      </c>
      <c r="F721" t="s">
        <v>34</v>
      </c>
      <c r="G721" t="s">
        <v>132</v>
      </c>
      <c r="H721" s="1">
        <v>45627</v>
      </c>
      <c r="I721">
        <v>110</v>
      </c>
      <c r="J721" s="1" t="s">
        <v>540</v>
      </c>
      <c r="K721" t="str">
        <f t="shared" si="11"/>
        <v>Expired</v>
      </c>
    </row>
    <row r="722" spans="1:11" x14ac:dyDescent="0.3">
      <c r="A722" s="3">
        <v>45661</v>
      </c>
      <c r="B722" t="s">
        <v>90</v>
      </c>
      <c r="C722" t="s">
        <v>99</v>
      </c>
      <c r="D722">
        <v>18</v>
      </c>
      <c r="E722" t="s">
        <v>36</v>
      </c>
      <c r="F722" t="s">
        <v>37</v>
      </c>
      <c r="G722" t="s">
        <v>428</v>
      </c>
      <c r="H722" s="1">
        <v>46784</v>
      </c>
      <c r="I722">
        <v>108</v>
      </c>
      <c r="J722" s="1" t="s">
        <v>541</v>
      </c>
      <c r="K722" t="str">
        <f t="shared" si="11"/>
        <v>Non-Expired</v>
      </c>
    </row>
    <row r="723" spans="1:11" x14ac:dyDescent="0.3">
      <c r="A723" s="3">
        <v>45661</v>
      </c>
      <c r="B723" t="s">
        <v>65</v>
      </c>
      <c r="C723" t="s">
        <v>88</v>
      </c>
      <c r="D723">
        <v>23</v>
      </c>
      <c r="E723" t="s">
        <v>41</v>
      </c>
      <c r="F723" t="s">
        <v>12</v>
      </c>
      <c r="G723" t="s">
        <v>372</v>
      </c>
      <c r="H723" s="1">
        <v>46600</v>
      </c>
      <c r="I723">
        <v>92</v>
      </c>
      <c r="J723" s="1" t="s">
        <v>541</v>
      </c>
      <c r="K723" t="str">
        <f t="shared" si="11"/>
        <v>Non-Expired</v>
      </c>
    </row>
    <row r="724" spans="1:11" x14ac:dyDescent="0.3">
      <c r="A724" s="3">
        <v>45661</v>
      </c>
      <c r="B724" t="s">
        <v>92</v>
      </c>
      <c r="C724" t="s">
        <v>112</v>
      </c>
      <c r="D724">
        <v>29</v>
      </c>
      <c r="E724" t="s">
        <v>45</v>
      </c>
      <c r="F724" t="s">
        <v>16</v>
      </c>
      <c r="G724" t="s">
        <v>397</v>
      </c>
      <c r="H724" s="1">
        <v>46722</v>
      </c>
      <c r="I724">
        <v>290</v>
      </c>
      <c r="J724" s="1" t="s">
        <v>541</v>
      </c>
      <c r="K724" t="str">
        <f t="shared" si="11"/>
        <v>Non-Expired</v>
      </c>
    </row>
    <row r="725" spans="1:11" x14ac:dyDescent="0.3">
      <c r="A725" s="3">
        <v>45661</v>
      </c>
      <c r="B725" t="s">
        <v>23</v>
      </c>
      <c r="C725" t="s">
        <v>88</v>
      </c>
      <c r="D725">
        <v>29</v>
      </c>
      <c r="E725" t="s">
        <v>49</v>
      </c>
      <c r="F725" t="s">
        <v>50</v>
      </c>
      <c r="G725" t="s">
        <v>320</v>
      </c>
      <c r="H725" s="1">
        <v>46327</v>
      </c>
      <c r="I725">
        <v>145</v>
      </c>
      <c r="J725" s="1" t="s">
        <v>541</v>
      </c>
      <c r="K725" t="str">
        <f t="shared" si="11"/>
        <v>Non-Expired</v>
      </c>
    </row>
    <row r="726" spans="1:11" x14ac:dyDescent="0.3">
      <c r="A726" s="3">
        <v>45661</v>
      </c>
      <c r="B726" t="s">
        <v>65</v>
      </c>
      <c r="C726" t="s">
        <v>131</v>
      </c>
      <c r="D726">
        <v>3</v>
      </c>
      <c r="E726" t="s">
        <v>52</v>
      </c>
      <c r="F726" t="s">
        <v>53</v>
      </c>
      <c r="G726" t="s">
        <v>94</v>
      </c>
      <c r="H726" s="1">
        <v>46692</v>
      </c>
      <c r="I726">
        <v>6</v>
      </c>
      <c r="J726" s="1" t="s">
        <v>541</v>
      </c>
      <c r="K726" t="str">
        <f t="shared" si="11"/>
        <v>Non-Expired</v>
      </c>
    </row>
    <row r="727" spans="1:11" x14ac:dyDescent="0.3">
      <c r="A727" s="3">
        <v>45661</v>
      </c>
      <c r="B727" t="s">
        <v>92</v>
      </c>
      <c r="C727" t="s">
        <v>55</v>
      </c>
      <c r="D727">
        <v>5</v>
      </c>
      <c r="E727" t="s">
        <v>56</v>
      </c>
      <c r="F727" t="s">
        <v>53</v>
      </c>
      <c r="G727" t="s">
        <v>429</v>
      </c>
      <c r="H727" s="1">
        <v>46631</v>
      </c>
      <c r="I727">
        <v>50</v>
      </c>
      <c r="J727" s="1" t="s">
        <v>541</v>
      </c>
      <c r="K727" t="str">
        <f t="shared" si="11"/>
        <v>Non-Expired</v>
      </c>
    </row>
    <row r="728" spans="1:11" x14ac:dyDescent="0.3">
      <c r="A728" s="3">
        <v>45661</v>
      </c>
      <c r="B728" t="s">
        <v>92</v>
      </c>
      <c r="C728" t="s">
        <v>59</v>
      </c>
      <c r="D728">
        <v>27</v>
      </c>
      <c r="E728" t="s">
        <v>60</v>
      </c>
      <c r="F728" t="s">
        <v>61</v>
      </c>
      <c r="G728" t="s">
        <v>430</v>
      </c>
      <c r="H728" s="1">
        <v>45292</v>
      </c>
      <c r="I728">
        <v>3240</v>
      </c>
      <c r="J728" s="1" t="s">
        <v>541</v>
      </c>
      <c r="K728" t="str">
        <f t="shared" si="11"/>
        <v>Expired</v>
      </c>
    </row>
    <row r="729" spans="1:11" x14ac:dyDescent="0.3">
      <c r="A729" s="3">
        <v>45661</v>
      </c>
      <c r="B729" t="s">
        <v>9</v>
      </c>
      <c r="C729" t="s">
        <v>210</v>
      </c>
      <c r="D729">
        <v>8</v>
      </c>
      <c r="E729" t="s">
        <v>63</v>
      </c>
      <c r="F729" t="s">
        <v>50</v>
      </c>
      <c r="G729" t="s">
        <v>431</v>
      </c>
      <c r="H729" s="1">
        <v>46692</v>
      </c>
      <c r="I729">
        <v>160</v>
      </c>
      <c r="J729" s="1" t="s">
        <v>541</v>
      </c>
      <c r="K729" t="str">
        <f t="shared" si="11"/>
        <v>Non-Expired</v>
      </c>
    </row>
    <row r="730" spans="1:11" x14ac:dyDescent="0.3">
      <c r="A730" s="3">
        <v>45692</v>
      </c>
      <c r="B730" t="s">
        <v>9</v>
      </c>
      <c r="C730" t="s">
        <v>107</v>
      </c>
      <c r="D730">
        <v>22</v>
      </c>
      <c r="E730" t="s">
        <v>67</v>
      </c>
      <c r="F730" t="s">
        <v>68</v>
      </c>
      <c r="G730" t="s">
        <v>121</v>
      </c>
      <c r="H730" s="1">
        <v>46023</v>
      </c>
      <c r="I730">
        <v>660</v>
      </c>
      <c r="J730" s="1" t="s">
        <v>541</v>
      </c>
      <c r="K730" t="str">
        <f t="shared" si="11"/>
        <v>Non-Expired</v>
      </c>
    </row>
    <row r="731" spans="1:11" x14ac:dyDescent="0.3">
      <c r="A731" s="3">
        <v>45692</v>
      </c>
      <c r="B731" t="s">
        <v>23</v>
      </c>
      <c r="C731" t="s">
        <v>78</v>
      </c>
      <c r="D731">
        <v>26</v>
      </c>
      <c r="E731" t="s">
        <v>71</v>
      </c>
      <c r="F731" t="s">
        <v>72</v>
      </c>
      <c r="G731" t="s">
        <v>309</v>
      </c>
      <c r="H731" s="1">
        <v>46235</v>
      </c>
      <c r="I731">
        <v>1040</v>
      </c>
      <c r="J731" s="1" t="s">
        <v>541</v>
      </c>
      <c r="K731" t="str">
        <f t="shared" si="11"/>
        <v>Non-Expired</v>
      </c>
    </row>
    <row r="732" spans="1:11" x14ac:dyDescent="0.3">
      <c r="A732" s="3">
        <v>45692</v>
      </c>
      <c r="B732" t="s">
        <v>43</v>
      </c>
      <c r="C732" t="s">
        <v>55</v>
      </c>
      <c r="D732">
        <v>17</v>
      </c>
      <c r="E732" t="s">
        <v>75</v>
      </c>
      <c r="F732" t="s">
        <v>16</v>
      </c>
      <c r="G732" t="s">
        <v>243</v>
      </c>
      <c r="H732" s="1">
        <v>46082</v>
      </c>
      <c r="I732">
        <v>850</v>
      </c>
      <c r="J732" s="1" t="s">
        <v>541</v>
      </c>
      <c r="K732" t="str">
        <f t="shared" si="11"/>
        <v>Non-Expired</v>
      </c>
    </row>
    <row r="733" spans="1:11" x14ac:dyDescent="0.3">
      <c r="A733" s="3">
        <v>45692</v>
      </c>
      <c r="B733" t="s">
        <v>65</v>
      </c>
      <c r="C733" t="s">
        <v>40</v>
      </c>
      <c r="D733">
        <v>27</v>
      </c>
      <c r="E733" t="s">
        <v>11</v>
      </c>
      <c r="F733" t="s">
        <v>12</v>
      </c>
      <c r="G733" t="s">
        <v>311</v>
      </c>
      <c r="H733" s="1">
        <v>46600</v>
      </c>
      <c r="I733">
        <v>54</v>
      </c>
      <c r="J733" s="1" t="s">
        <v>541</v>
      </c>
      <c r="K733" t="str">
        <f t="shared" si="11"/>
        <v>Non-Expired</v>
      </c>
    </row>
    <row r="734" spans="1:11" x14ac:dyDescent="0.3">
      <c r="A734" s="3">
        <v>45692</v>
      </c>
      <c r="B734" t="s">
        <v>9</v>
      </c>
      <c r="C734" t="s">
        <v>74</v>
      </c>
      <c r="D734">
        <v>19</v>
      </c>
      <c r="E734" t="s">
        <v>15</v>
      </c>
      <c r="F734" t="s">
        <v>16</v>
      </c>
      <c r="G734" t="s">
        <v>244</v>
      </c>
      <c r="H734" s="1">
        <v>46753</v>
      </c>
      <c r="I734">
        <v>57</v>
      </c>
      <c r="J734" s="1" t="s">
        <v>541</v>
      </c>
      <c r="K734" t="str">
        <f t="shared" si="11"/>
        <v>Non-Expired</v>
      </c>
    </row>
    <row r="735" spans="1:11" x14ac:dyDescent="0.3">
      <c r="A735" s="3">
        <v>45692</v>
      </c>
      <c r="B735" t="s">
        <v>23</v>
      </c>
      <c r="C735" t="s">
        <v>44</v>
      </c>
      <c r="D735">
        <v>29</v>
      </c>
      <c r="E735" t="s">
        <v>20</v>
      </c>
      <c r="F735" t="s">
        <v>21</v>
      </c>
      <c r="G735" t="s">
        <v>432</v>
      </c>
      <c r="H735" s="1">
        <v>46784</v>
      </c>
      <c r="I735">
        <v>232</v>
      </c>
      <c r="J735" s="1" t="s">
        <v>541</v>
      </c>
      <c r="K735" t="str">
        <f t="shared" si="11"/>
        <v>Non-Expired</v>
      </c>
    </row>
    <row r="736" spans="1:11" x14ac:dyDescent="0.3">
      <c r="A736" s="3">
        <v>45692</v>
      </c>
      <c r="B736" t="s">
        <v>31</v>
      </c>
      <c r="C736" t="s">
        <v>78</v>
      </c>
      <c r="D736">
        <v>13</v>
      </c>
      <c r="E736" t="s">
        <v>25</v>
      </c>
      <c r="F736" t="s">
        <v>26</v>
      </c>
      <c r="G736" t="s">
        <v>129</v>
      </c>
      <c r="H736" s="1">
        <v>45627</v>
      </c>
      <c r="I736">
        <v>39</v>
      </c>
      <c r="J736" s="1" t="s">
        <v>541</v>
      </c>
      <c r="K736" t="str">
        <f t="shared" si="11"/>
        <v>Expired</v>
      </c>
    </row>
    <row r="737" spans="1:11" x14ac:dyDescent="0.3">
      <c r="A737" s="3">
        <v>45692</v>
      </c>
      <c r="B737" t="s">
        <v>9</v>
      </c>
      <c r="C737" t="s">
        <v>44</v>
      </c>
      <c r="D737">
        <v>18</v>
      </c>
      <c r="E737" t="s">
        <v>28</v>
      </c>
      <c r="F737" t="s">
        <v>29</v>
      </c>
      <c r="G737" t="s">
        <v>324</v>
      </c>
      <c r="H737" s="1">
        <v>46204</v>
      </c>
      <c r="I737">
        <v>72</v>
      </c>
      <c r="J737" s="1" t="s">
        <v>541</v>
      </c>
      <c r="K737" t="str">
        <f t="shared" si="11"/>
        <v>Non-Expired</v>
      </c>
    </row>
    <row r="738" spans="1:11" x14ac:dyDescent="0.3">
      <c r="A738" s="3">
        <v>45720</v>
      </c>
      <c r="B738" t="s">
        <v>9</v>
      </c>
      <c r="C738" t="s">
        <v>70</v>
      </c>
      <c r="D738">
        <v>5</v>
      </c>
      <c r="E738" t="s">
        <v>33</v>
      </c>
      <c r="F738" t="s">
        <v>34</v>
      </c>
      <c r="G738" t="s">
        <v>111</v>
      </c>
      <c r="H738" s="1">
        <v>46174</v>
      </c>
      <c r="I738">
        <v>25</v>
      </c>
      <c r="J738" s="1" t="s">
        <v>541</v>
      </c>
      <c r="K738" t="str">
        <f t="shared" si="11"/>
        <v>Non-Expired</v>
      </c>
    </row>
    <row r="739" spans="1:11" x14ac:dyDescent="0.3">
      <c r="A739" s="3">
        <v>45720</v>
      </c>
      <c r="B739" t="s">
        <v>39</v>
      </c>
      <c r="C739" t="s">
        <v>125</v>
      </c>
      <c r="D739">
        <v>26</v>
      </c>
      <c r="E739" t="s">
        <v>36</v>
      </c>
      <c r="F739" t="s">
        <v>37</v>
      </c>
      <c r="G739" t="s">
        <v>237</v>
      </c>
      <c r="H739" s="1">
        <v>46419</v>
      </c>
      <c r="I739">
        <v>156</v>
      </c>
      <c r="J739" s="1" t="s">
        <v>541</v>
      </c>
      <c r="K739" t="str">
        <f t="shared" si="11"/>
        <v>Non-Expired</v>
      </c>
    </row>
    <row r="740" spans="1:11" x14ac:dyDescent="0.3">
      <c r="A740" s="3">
        <v>45720</v>
      </c>
      <c r="B740" t="s">
        <v>9</v>
      </c>
      <c r="C740" t="s">
        <v>119</v>
      </c>
      <c r="D740">
        <v>21</v>
      </c>
      <c r="E740" t="s">
        <v>41</v>
      </c>
      <c r="F740" t="s">
        <v>12</v>
      </c>
      <c r="G740" t="s">
        <v>42</v>
      </c>
      <c r="H740" s="1">
        <v>46722</v>
      </c>
      <c r="I740">
        <v>84</v>
      </c>
      <c r="J740" s="1" t="s">
        <v>541</v>
      </c>
      <c r="K740" t="str">
        <f t="shared" si="11"/>
        <v>Non-Expired</v>
      </c>
    </row>
    <row r="741" spans="1:11" x14ac:dyDescent="0.3">
      <c r="A741" s="3">
        <v>45720</v>
      </c>
      <c r="B741" t="s">
        <v>85</v>
      </c>
      <c r="C741" t="s">
        <v>40</v>
      </c>
      <c r="D741">
        <v>27</v>
      </c>
      <c r="E741" t="s">
        <v>45</v>
      </c>
      <c r="F741" t="s">
        <v>16</v>
      </c>
      <c r="G741" t="s">
        <v>153</v>
      </c>
      <c r="H741" s="1">
        <v>46478</v>
      </c>
      <c r="I741">
        <v>270</v>
      </c>
      <c r="J741" s="1" t="s">
        <v>541</v>
      </c>
      <c r="K741" t="str">
        <f t="shared" si="11"/>
        <v>Non-Expired</v>
      </c>
    </row>
    <row r="742" spans="1:11" x14ac:dyDescent="0.3">
      <c r="A742" s="3">
        <v>45720</v>
      </c>
      <c r="B742" t="s">
        <v>85</v>
      </c>
      <c r="C742" t="s">
        <v>139</v>
      </c>
      <c r="D742">
        <v>1</v>
      </c>
      <c r="E742" t="s">
        <v>49</v>
      </c>
      <c r="F742" t="s">
        <v>50</v>
      </c>
      <c r="G742" t="s">
        <v>93</v>
      </c>
      <c r="H742" s="1">
        <v>45627</v>
      </c>
      <c r="I742">
        <v>5</v>
      </c>
      <c r="J742" s="1" t="s">
        <v>541</v>
      </c>
      <c r="K742" t="str">
        <f t="shared" si="11"/>
        <v>Expired</v>
      </c>
    </row>
    <row r="743" spans="1:11" x14ac:dyDescent="0.3">
      <c r="A743" s="3">
        <v>45720</v>
      </c>
      <c r="B743" t="s">
        <v>9</v>
      </c>
      <c r="C743" t="s">
        <v>44</v>
      </c>
      <c r="D743">
        <v>21</v>
      </c>
      <c r="E743" t="s">
        <v>52</v>
      </c>
      <c r="F743" t="s">
        <v>53</v>
      </c>
      <c r="G743" t="s">
        <v>283</v>
      </c>
      <c r="H743" s="1">
        <v>46143</v>
      </c>
      <c r="I743">
        <v>42</v>
      </c>
      <c r="J743" s="1" t="s">
        <v>541</v>
      </c>
      <c r="K743" t="str">
        <f t="shared" si="11"/>
        <v>Non-Expired</v>
      </c>
    </row>
    <row r="744" spans="1:11" x14ac:dyDescent="0.3">
      <c r="A744" s="3">
        <v>45720</v>
      </c>
      <c r="B744" t="s">
        <v>9</v>
      </c>
      <c r="C744" t="s">
        <v>40</v>
      </c>
      <c r="D744">
        <v>10</v>
      </c>
      <c r="E744" t="s">
        <v>56</v>
      </c>
      <c r="F744" t="s">
        <v>53</v>
      </c>
      <c r="G744" t="s">
        <v>229</v>
      </c>
      <c r="H744" s="1">
        <v>46174</v>
      </c>
      <c r="I744">
        <v>100</v>
      </c>
      <c r="J744" s="1" t="s">
        <v>541</v>
      </c>
      <c r="K744" t="str">
        <f t="shared" si="11"/>
        <v>Non-Expired</v>
      </c>
    </row>
    <row r="745" spans="1:11" x14ac:dyDescent="0.3">
      <c r="A745" s="3">
        <v>45720</v>
      </c>
      <c r="B745" t="s">
        <v>92</v>
      </c>
      <c r="C745" t="s">
        <v>14</v>
      </c>
      <c r="D745">
        <v>17</v>
      </c>
      <c r="E745" t="s">
        <v>60</v>
      </c>
      <c r="F745" t="s">
        <v>61</v>
      </c>
      <c r="G745" t="s">
        <v>346</v>
      </c>
      <c r="H745" s="1">
        <v>46023</v>
      </c>
      <c r="I745">
        <v>2040</v>
      </c>
      <c r="J745" s="1" t="s">
        <v>541</v>
      </c>
      <c r="K745" t="str">
        <f t="shared" si="11"/>
        <v>Non-Expired</v>
      </c>
    </row>
    <row r="746" spans="1:11" x14ac:dyDescent="0.3">
      <c r="A746" s="3">
        <v>45751</v>
      </c>
      <c r="B746" t="s">
        <v>92</v>
      </c>
      <c r="C746" t="s">
        <v>203</v>
      </c>
      <c r="D746">
        <v>24</v>
      </c>
      <c r="E746" t="s">
        <v>63</v>
      </c>
      <c r="F746" t="s">
        <v>50</v>
      </c>
      <c r="G746" t="s">
        <v>284</v>
      </c>
      <c r="H746" s="1">
        <v>46235</v>
      </c>
      <c r="I746">
        <v>480</v>
      </c>
      <c r="J746" s="1" t="s">
        <v>541</v>
      </c>
      <c r="K746" t="str">
        <f t="shared" si="11"/>
        <v>Non-Expired</v>
      </c>
    </row>
    <row r="747" spans="1:11" x14ac:dyDescent="0.3">
      <c r="A747" s="3">
        <v>45751</v>
      </c>
      <c r="B747" t="s">
        <v>18</v>
      </c>
      <c r="C747" t="s">
        <v>119</v>
      </c>
      <c r="D747">
        <v>17</v>
      </c>
      <c r="E747" t="s">
        <v>67</v>
      </c>
      <c r="F747" t="s">
        <v>68</v>
      </c>
      <c r="G747" t="s">
        <v>425</v>
      </c>
      <c r="H747" s="1">
        <v>46478</v>
      </c>
      <c r="I747">
        <v>510</v>
      </c>
      <c r="J747" s="1" t="s">
        <v>541</v>
      </c>
      <c r="K747" t="str">
        <f t="shared" si="11"/>
        <v>Non-Expired</v>
      </c>
    </row>
    <row r="748" spans="1:11" x14ac:dyDescent="0.3">
      <c r="A748" s="3">
        <v>45751</v>
      </c>
      <c r="B748" t="s">
        <v>9</v>
      </c>
      <c r="C748" t="s">
        <v>131</v>
      </c>
      <c r="D748">
        <v>13</v>
      </c>
      <c r="E748" t="s">
        <v>71</v>
      </c>
      <c r="F748" t="s">
        <v>72</v>
      </c>
      <c r="G748" t="s">
        <v>426</v>
      </c>
      <c r="H748" s="1">
        <v>45627</v>
      </c>
      <c r="I748">
        <v>520</v>
      </c>
      <c r="J748" s="1" t="s">
        <v>541</v>
      </c>
      <c r="K748" t="str">
        <f t="shared" si="11"/>
        <v>Expired</v>
      </c>
    </row>
    <row r="749" spans="1:11" x14ac:dyDescent="0.3">
      <c r="A749" s="3">
        <v>45751</v>
      </c>
      <c r="B749" t="s">
        <v>97</v>
      </c>
      <c r="C749" t="s">
        <v>203</v>
      </c>
      <c r="D749">
        <v>24</v>
      </c>
      <c r="E749" t="s">
        <v>75</v>
      </c>
      <c r="F749" t="s">
        <v>16</v>
      </c>
      <c r="G749" t="s">
        <v>352</v>
      </c>
      <c r="H749" s="1">
        <v>46419</v>
      </c>
      <c r="I749">
        <v>1200</v>
      </c>
      <c r="J749" s="1" t="s">
        <v>541</v>
      </c>
      <c r="K749" t="str">
        <f t="shared" si="11"/>
        <v>Non-Expired</v>
      </c>
    </row>
    <row r="750" spans="1:11" x14ac:dyDescent="0.3">
      <c r="A750" s="3">
        <v>45751</v>
      </c>
      <c r="B750" t="s">
        <v>9</v>
      </c>
      <c r="C750" t="s">
        <v>154</v>
      </c>
      <c r="D750">
        <v>21</v>
      </c>
      <c r="E750" t="s">
        <v>11</v>
      </c>
      <c r="F750" t="s">
        <v>12</v>
      </c>
      <c r="G750" t="s">
        <v>177</v>
      </c>
      <c r="H750" s="1">
        <v>46113</v>
      </c>
      <c r="I750">
        <v>42</v>
      </c>
      <c r="J750" s="1" t="s">
        <v>541</v>
      </c>
      <c r="K750" t="str">
        <f t="shared" si="11"/>
        <v>Non-Expired</v>
      </c>
    </row>
    <row r="751" spans="1:11" x14ac:dyDescent="0.3">
      <c r="A751" s="3">
        <v>45751</v>
      </c>
      <c r="B751" t="s">
        <v>47</v>
      </c>
      <c r="C751" t="s">
        <v>19</v>
      </c>
      <c r="D751">
        <v>11</v>
      </c>
      <c r="E751" t="s">
        <v>15</v>
      </c>
      <c r="F751" t="s">
        <v>16</v>
      </c>
      <c r="G751" t="s">
        <v>222</v>
      </c>
      <c r="H751" s="1">
        <v>46631</v>
      </c>
      <c r="I751">
        <v>33</v>
      </c>
      <c r="J751" s="1" t="s">
        <v>541</v>
      </c>
      <c r="K751" t="str">
        <f t="shared" si="11"/>
        <v>Non-Expired</v>
      </c>
    </row>
    <row r="752" spans="1:11" x14ac:dyDescent="0.3">
      <c r="A752" s="3">
        <v>45751</v>
      </c>
      <c r="B752" t="s">
        <v>9</v>
      </c>
      <c r="C752" t="s">
        <v>10</v>
      </c>
      <c r="D752">
        <v>30</v>
      </c>
      <c r="E752" t="s">
        <v>20</v>
      </c>
      <c r="F752" t="s">
        <v>21</v>
      </c>
      <c r="G752" t="s">
        <v>194</v>
      </c>
      <c r="H752" s="1">
        <v>46600</v>
      </c>
      <c r="I752">
        <v>240</v>
      </c>
      <c r="J752" s="1" t="s">
        <v>541</v>
      </c>
      <c r="K752" t="str">
        <f t="shared" si="11"/>
        <v>Non-Expired</v>
      </c>
    </row>
    <row r="753" spans="1:11" x14ac:dyDescent="0.3">
      <c r="A753" s="3">
        <v>45751</v>
      </c>
      <c r="B753" t="s">
        <v>92</v>
      </c>
      <c r="C753" t="s">
        <v>44</v>
      </c>
      <c r="D753">
        <v>23</v>
      </c>
      <c r="E753" t="s">
        <v>25</v>
      </c>
      <c r="F753" t="s">
        <v>26</v>
      </c>
      <c r="G753" t="s">
        <v>164</v>
      </c>
      <c r="H753" s="1">
        <v>46388</v>
      </c>
      <c r="I753">
        <v>69</v>
      </c>
      <c r="J753" s="1" t="s">
        <v>541</v>
      </c>
      <c r="K753" t="str">
        <f t="shared" si="11"/>
        <v>Non-Expired</v>
      </c>
    </row>
    <row r="754" spans="1:11" x14ac:dyDescent="0.3">
      <c r="A754" s="3">
        <v>45781</v>
      </c>
      <c r="B754" t="s">
        <v>65</v>
      </c>
      <c r="C754" t="s">
        <v>173</v>
      </c>
      <c r="D754">
        <v>29</v>
      </c>
      <c r="E754" t="s">
        <v>28</v>
      </c>
      <c r="F754" t="s">
        <v>29</v>
      </c>
      <c r="G754" t="s">
        <v>390</v>
      </c>
      <c r="H754" s="1">
        <v>45689</v>
      </c>
      <c r="I754">
        <v>116</v>
      </c>
      <c r="J754" s="1" t="s">
        <v>541</v>
      </c>
      <c r="K754" t="str">
        <f t="shared" si="11"/>
        <v>Expired</v>
      </c>
    </row>
    <row r="755" spans="1:11" x14ac:dyDescent="0.3">
      <c r="A755" s="3">
        <v>45781</v>
      </c>
      <c r="B755" t="s">
        <v>9</v>
      </c>
      <c r="C755" t="s">
        <v>44</v>
      </c>
      <c r="D755">
        <v>29</v>
      </c>
      <c r="E755" t="s">
        <v>33</v>
      </c>
      <c r="F755" t="s">
        <v>34</v>
      </c>
      <c r="G755" t="s">
        <v>419</v>
      </c>
      <c r="H755" s="1">
        <v>46447</v>
      </c>
      <c r="I755">
        <v>145</v>
      </c>
      <c r="J755" s="1" t="s">
        <v>541</v>
      </c>
      <c r="K755" t="str">
        <f t="shared" si="11"/>
        <v>Non-Expired</v>
      </c>
    </row>
    <row r="756" spans="1:11" x14ac:dyDescent="0.3">
      <c r="A756" s="3">
        <v>45781</v>
      </c>
      <c r="B756" t="s">
        <v>9</v>
      </c>
      <c r="C756" t="s">
        <v>203</v>
      </c>
      <c r="D756">
        <v>15</v>
      </c>
      <c r="E756" t="s">
        <v>36</v>
      </c>
      <c r="F756" t="s">
        <v>37</v>
      </c>
      <c r="G756" t="s">
        <v>428</v>
      </c>
      <c r="H756" s="1">
        <v>46753</v>
      </c>
      <c r="I756">
        <v>90</v>
      </c>
      <c r="J756" s="1" t="s">
        <v>541</v>
      </c>
      <c r="K756" t="str">
        <f t="shared" si="11"/>
        <v>Non-Expired</v>
      </c>
    </row>
    <row r="757" spans="1:11" x14ac:dyDescent="0.3">
      <c r="A757" s="3">
        <v>45781</v>
      </c>
      <c r="B757" t="s">
        <v>85</v>
      </c>
      <c r="C757" t="s">
        <v>139</v>
      </c>
      <c r="D757">
        <v>6</v>
      </c>
      <c r="E757" t="s">
        <v>41</v>
      </c>
      <c r="F757" t="s">
        <v>12</v>
      </c>
      <c r="G757" t="s">
        <v>89</v>
      </c>
      <c r="H757" s="1">
        <v>46296</v>
      </c>
      <c r="I757">
        <v>24</v>
      </c>
      <c r="J757" s="1" t="s">
        <v>541</v>
      </c>
      <c r="K757" t="str">
        <f t="shared" si="11"/>
        <v>Non-Expired</v>
      </c>
    </row>
    <row r="758" spans="1:11" x14ac:dyDescent="0.3">
      <c r="A758" s="3">
        <v>45781</v>
      </c>
      <c r="B758" t="s">
        <v>9</v>
      </c>
      <c r="C758" t="s">
        <v>107</v>
      </c>
      <c r="D758">
        <v>23</v>
      </c>
      <c r="E758" t="s">
        <v>45</v>
      </c>
      <c r="F758" t="s">
        <v>16</v>
      </c>
      <c r="G758" t="s">
        <v>356</v>
      </c>
      <c r="H758" s="1">
        <v>46478</v>
      </c>
      <c r="I758">
        <v>230</v>
      </c>
      <c r="J758" s="1" t="s">
        <v>541</v>
      </c>
      <c r="K758" t="str">
        <f t="shared" si="11"/>
        <v>Non-Expired</v>
      </c>
    </row>
    <row r="759" spans="1:11" x14ac:dyDescent="0.3">
      <c r="A759" s="3">
        <v>45781</v>
      </c>
      <c r="B759" t="s">
        <v>9</v>
      </c>
      <c r="C759" t="s">
        <v>180</v>
      </c>
      <c r="D759">
        <v>6</v>
      </c>
      <c r="E759" t="s">
        <v>49</v>
      </c>
      <c r="F759" t="s">
        <v>50</v>
      </c>
      <c r="G759" t="s">
        <v>373</v>
      </c>
      <c r="H759" s="1">
        <v>45717</v>
      </c>
      <c r="I759">
        <v>30</v>
      </c>
      <c r="J759" s="1" t="s">
        <v>541</v>
      </c>
      <c r="K759" t="str">
        <f t="shared" si="11"/>
        <v>Expired</v>
      </c>
    </row>
    <row r="760" spans="1:11" x14ac:dyDescent="0.3">
      <c r="A760" s="3">
        <v>45781</v>
      </c>
      <c r="B760" t="s">
        <v>9</v>
      </c>
      <c r="C760" t="s">
        <v>88</v>
      </c>
      <c r="D760">
        <v>13</v>
      </c>
      <c r="E760" t="s">
        <v>52</v>
      </c>
      <c r="F760" t="s">
        <v>53</v>
      </c>
      <c r="G760" t="s">
        <v>433</v>
      </c>
      <c r="H760" s="1">
        <v>46235</v>
      </c>
      <c r="I760">
        <v>26</v>
      </c>
      <c r="J760" s="1" t="s">
        <v>541</v>
      </c>
      <c r="K760" t="str">
        <f t="shared" si="11"/>
        <v>Non-Expired</v>
      </c>
    </row>
    <row r="761" spans="1:11" x14ac:dyDescent="0.3">
      <c r="A761" s="3">
        <v>45781</v>
      </c>
      <c r="B761" t="s">
        <v>39</v>
      </c>
      <c r="C761" t="s">
        <v>112</v>
      </c>
      <c r="D761">
        <v>3</v>
      </c>
      <c r="E761" t="s">
        <v>56</v>
      </c>
      <c r="F761" t="s">
        <v>53</v>
      </c>
      <c r="G761" t="s">
        <v>138</v>
      </c>
      <c r="H761" s="1">
        <v>46388</v>
      </c>
      <c r="I761">
        <v>30</v>
      </c>
      <c r="J761" s="1" t="s">
        <v>541</v>
      </c>
      <c r="K761" t="str">
        <f t="shared" si="11"/>
        <v>Non-Expired</v>
      </c>
    </row>
    <row r="762" spans="1:11" x14ac:dyDescent="0.3">
      <c r="A762" s="3">
        <v>45812</v>
      </c>
      <c r="B762" t="s">
        <v>9</v>
      </c>
      <c r="C762" t="s">
        <v>180</v>
      </c>
      <c r="D762">
        <v>23</v>
      </c>
      <c r="E762" t="s">
        <v>60</v>
      </c>
      <c r="F762" t="s">
        <v>61</v>
      </c>
      <c r="G762" t="s">
        <v>406</v>
      </c>
      <c r="H762" s="1">
        <v>46419</v>
      </c>
      <c r="I762">
        <v>2760</v>
      </c>
      <c r="J762" s="1" t="s">
        <v>541</v>
      </c>
      <c r="K762" t="str">
        <f t="shared" si="11"/>
        <v>Non-Expired</v>
      </c>
    </row>
    <row r="763" spans="1:11" x14ac:dyDescent="0.3">
      <c r="A763" s="3">
        <v>45812</v>
      </c>
      <c r="B763" t="s">
        <v>9</v>
      </c>
      <c r="C763" t="s">
        <v>48</v>
      </c>
      <c r="D763">
        <v>2</v>
      </c>
      <c r="E763" t="s">
        <v>63</v>
      </c>
      <c r="F763" t="s">
        <v>50</v>
      </c>
      <c r="G763" t="s">
        <v>189</v>
      </c>
      <c r="H763" s="1">
        <v>46539</v>
      </c>
      <c r="I763">
        <v>40</v>
      </c>
      <c r="J763" s="1" t="s">
        <v>541</v>
      </c>
      <c r="K763" t="str">
        <f t="shared" si="11"/>
        <v>Non-Expired</v>
      </c>
    </row>
    <row r="764" spans="1:11" x14ac:dyDescent="0.3">
      <c r="A764" s="3">
        <v>45812</v>
      </c>
      <c r="B764" t="s">
        <v>47</v>
      </c>
      <c r="C764" t="s">
        <v>128</v>
      </c>
      <c r="D764">
        <v>8</v>
      </c>
      <c r="E764" t="s">
        <v>67</v>
      </c>
      <c r="F764" t="s">
        <v>68</v>
      </c>
      <c r="G764" t="s">
        <v>411</v>
      </c>
      <c r="H764" s="1">
        <v>45689</v>
      </c>
      <c r="I764">
        <v>240</v>
      </c>
      <c r="J764" s="1" t="s">
        <v>541</v>
      </c>
      <c r="K764" t="str">
        <f t="shared" si="11"/>
        <v>Expired</v>
      </c>
    </row>
    <row r="765" spans="1:11" x14ac:dyDescent="0.3">
      <c r="A765" s="3">
        <v>45812</v>
      </c>
      <c r="B765" t="s">
        <v>9</v>
      </c>
      <c r="C765" t="s">
        <v>55</v>
      </c>
      <c r="D765">
        <v>26</v>
      </c>
      <c r="E765" t="s">
        <v>71</v>
      </c>
      <c r="F765" t="s">
        <v>72</v>
      </c>
      <c r="G765" t="s">
        <v>426</v>
      </c>
      <c r="H765" s="1">
        <v>46054</v>
      </c>
      <c r="I765">
        <v>1040</v>
      </c>
      <c r="J765" s="1" t="s">
        <v>541</v>
      </c>
      <c r="K765" t="str">
        <f t="shared" si="11"/>
        <v>Non-Expired</v>
      </c>
    </row>
    <row r="766" spans="1:11" x14ac:dyDescent="0.3">
      <c r="A766" s="3">
        <v>45812</v>
      </c>
      <c r="B766" t="s">
        <v>9</v>
      </c>
      <c r="C766" t="s">
        <v>40</v>
      </c>
      <c r="D766">
        <v>14</v>
      </c>
      <c r="E766" t="s">
        <v>75</v>
      </c>
      <c r="F766" t="s">
        <v>16</v>
      </c>
      <c r="G766" t="s">
        <v>434</v>
      </c>
      <c r="H766" s="1">
        <v>46692</v>
      </c>
      <c r="I766">
        <v>700</v>
      </c>
      <c r="J766" s="1" t="s">
        <v>541</v>
      </c>
      <c r="K766" t="str">
        <f t="shared" si="11"/>
        <v>Non-Expired</v>
      </c>
    </row>
    <row r="767" spans="1:11" x14ac:dyDescent="0.3">
      <c r="A767" s="3">
        <v>45812</v>
      </c>
      <c r="B767" t="s">
        <v>39</v>
      </c>
      <c r="C767" t="s">
        <v>78</v>
      </c>
      <c r="D767">
        <v>20</v>
      </c>
      <c r="E767" t="s">
        <v>11</v>
      </c>
      <c r="F767" t="s">
        <v>12</v>
      </c>
      <c r="G767" t="s">
        <v>368</v>
      </c>
      <c r="H767" s="1">
        <v>46419</v>
      </c>
      <c r="I767">
        <v>40</v>
      </c>
      <c r="J767" s="1" t="s">
        <v>541</v>
      </c>
      <c r="K767" t="str">
        <f t="shared" si="11"/>
        <v>Non-Expired</v>
      </c>
    </row>
    <row r="768" spans="1:11" x14ac:dyDescent="0.3">
      <c r="A768" s="3">
        <v>45812</v>
      </c>
      <c r="B768" t="s">
        <v>85</v>
      </c>
      <c r="C768" t="s">
        <v>125</v>
      </c>
      <c r="D768">
        <v>28</v>
      </c>
      <c r="E768" t="s">
        <v>15</v>
      </c>
      <c r="F768" t="s">
        <v>16</v>
      </c>
      <c r="G768" t="s">
        <v>126</v>
      </c>
      <c r="H768" s="1">
        <v>46388</v>
      </c>
      <c r="I768">
        <v>84</v>
      </c>
      <c r="J768" s="1" t="s">
        <v>541</v>
      </c>
      <c r="K768" t="str">
        <f t="shared" si="11"/>
        <v>Non-Expired</v>
      </c>
    </row>
    <row r="769" spans="1:11" x14ac:dyDescent="0.3">
      <c r="A769" s="3">
        <v>45812</v>
      </c>
      <c r="B769" t="s">
        <v>9</v>
      </c>
      <c r="C769" t="s">
        <v>70</v>
      </c>
      <c r="D769">
        <v>28</v>
      </c>
      <c r="E769" t="s">
        <v>20</v>
      </c>
      <c r="F769" t="s">
        <v>21</v>
      </c>
      <c r="G769" t="s">
        <v>413</v>
      </c>
      <c r="H769" s="1">
        <v>46082</v>
      </c>
      <c r="I769">
        <v>224</v>
      </c>
      <c r="J769" s="1" t="s">
        <v>541</v>
      </c>
      <c r="K769" t="str">
        <f t="shared" si="11"/>
        <v>Non-Expired</v>
      </c>
    </row>
    <row r="770" spans="1:11" x14ac:dyDescent="0.3">
      <c r="A770" s="3">
        <v>45842</v>
      </c>
      <c r="B770" t="s">
        <v>90</v>
      </c>
      <c r="C770" t="s">
        <v>19</v>
      </c>
      <c r="D770">
        <v>14</v>
      </c>
      <c r="E770" t="s">
        <v>25</v>
      </c>
      <c r="F770" t="s">
        <v>26</v>
      </c>
      <c r="G770" t="s">
        <v>195</v>
      </c>
      <c r="H770" s="1">
        <v>46722</v>
      </c>
      <c r="I770">
        <v>42</v>
      </c>
      <c r="J770" s="1" t="s">
        <v>541</v>
      </c>
      <c r="K770" t="str">
        <f t="shared" si="11"/>
        <v>Non-Expired</v>
      </c>
    </row>
    <row r="771" spans="1:11" x14ac:dyDescent="0.3">
      <c r="A771" s="3">
        <v>45842</v>
      </c>
      <c r="B771" t="s">
        <v>9</v>
      </c>
      <c r="C771" t="s">
        <v>14</v>
      </c>
      <c r="D771">
        <v>11</v>
      </c>
      <c r="E771" t="s">
        <v>28</v>
      </c>
      <c r="F771" t="s">
        <v>29</v>
      </c>
      <c r="G771" t="s">
        <v>383</v>
      </c>
      <c r="H771" s="1">
        <v>45962</v>
      </c>
      <c r="I771">
        <v>44</v>
      </c>
      <c r="J771" s="1" t="s">
        <v>541</v>
      </c>
      <c r="K771" t="str">
        <f t="shared" ref="K771:K834" si="12">IF(H771&lt;=DATE(2025,5,5),"Expired","Non-Expired")</f>
        <v>Non-Expired</v>
      </c>
    </row>
    <row r="772" spans="1:11" x14ac:dyDescent="0.3">
      <c r="A772" s="3">
        <v>45842</v>
      </c>
      <c r="B772" t="s">
        <v>65</v>
      </c>
      <c r="C772" t="s">
        <v>40</v>
      </c>
      <c r="D772">
        <v>22</v>
      </c>
      <c r="E772" t="s">
        <v>33</v>
      </c>
      <c r="F772" t="s">
        <v>34</v>
      </c>
      <c r="G772" t="s">
        <v>435</v>
      </c>
      <c r="H772" s="1">
        <v>46661</v>
      </c>
      <c r="I772">
        <v>110</v>
      </c>
      <c r="J772" s="1" t="s">
        <v>541</v>
      </c>
      <c r="K772" t="str">
        <f t="shared" si="12"/>
        <v>Non-Expired</v>
      </c>
    </row>
    <row r="773" spans="1:11" x14ac:dyDescent="0.3">
      <c r="A773" s="3">
        <v>45842</v>
      </c>
      <c r="B773" t="s">
        <v>92</v>
      </c>
      <c r="C773" t="s">
        <v>128</v>
      </c>
      <c r="D773">
        <v>1</v>
      </c>
      <c r="E773" t="s">
        <v>36</v>
      </c>
      <c r="F773" t="s">
        <v>37</v>
      </c>
      <c r="G773" t="s">
        <v>408</v>
      </c>
      <c r="H773" s="1">
        <v>46113</v>
      </c>
      <c r="I773">
        <v>6</v>
      </c>
      <c r="J773" s="1" t="s">
        <v>541</v>
      </c>
      <c r="K773" t="str">
        <f t="shared" si="12"/>
        <v>Non-Expired</v>
      </c>
    </row>
    <row r="774" spans="1:11" x14ac:dyDescent="0.3">
      <c r="A774" s="3">
        <v>45842</v>
      </c>
      <c r="B774" t="s">
        <v>9</v>
      </c>
      <c r="C774" t="s">
        <v>32</v>
      </c>
      <c r="D774">
        <v>23</v>
      </c>
      <c r="E774" t="s">
        <v>41</v>
      </c>
      <c r="F774" t="s">
        <v>12</v>
      </c>
      <c r="G774" t="s">
        <v>271</v>
      </c>
      <c r="H774" s="1">
        <v>46174</v>
      </c>
      <c r="I774">
        <v>92</v>
      </c>
      <c r="J774" s="1" t="s">
        <v>541</v>
      </c>
      <c r="K774" t="str">
        <f t="shared" si="12"/>
        <v>Non-Expired</v>
      </c>
    </row>
    <row r="775" spans="1:11" x14ac:dyDescent="0.3">
      <c r="A775" s="3">
        <v>45842</v>
      </c>
      <c r="B775" t="s">
        <v>43</v>
      </c>
      <c r="C775" t="s">
        <v>107</v>
      </c>
      <c r="D775">
        <v>3</v>
      </c>
      <c r="E775" t="s">
        <v>45</v>
      </c>
      <c r="F775" t="s">
        <v>16</v>
      </c>
      <c r="G775" t="s">
        <v>356</v>
      </c>
      <c r="H775" s="1">
        <v>46447</v>
      </c>
      <c r="I775">
        <v>30</v>
      </c>
      <c r="J775" s="1" t="s">
        <v>541</v>
      </c>
      <c r="K775" t="str">
        <f t="shared" si="12"/>
        <v>Non-Expired</v>
      </c>
    </row>
    <row r="776" spans="1:11" x14ac:dyDescent="0.3">
      <c r="A776" s="3">
        <v>45842</v>
      </c>
      <c r="B776" t="s">
        <v>23</v>
      </c>
      <c r="C776" t="s">
        <v>128</v>
      </c>
      <c r="D776">
        <v>30</v>
      </c>
      <c r="E776" t="s">
        <v>49</v>
      </c>
      <c r="F776" t="s">
        <v>50</v>
      </c>
      <c r="G776" t="s">
        <v>228</v>
      </c>
      <c r="H776" s="1">
        <v>46600</v>
      </c>
      <c r="I776">
        <v>150</v>
      </c>
      <c r="J776" s="1" t="s">
        <v>541</v>
      </c>
      <c r="K776" t="str">
        <f t="shared" si="12"/>
        <v>Non-Expired</v>
      </c>
    </row>
    <row r="777" spans="1:11" x14ac:dyDescent="0.3">
      <c r="A777" s="3">
        <v>45842</v>
      </c>
      <c r="B777" t="s">
        <v>43</v>
      </c>
      <c r="C777" t="s">
        <v>139</v>
      </c>
      <c r="D777">
        <v>25</v>
      </c>
      <c r="E777" t="s">
        <v>52</v>
      </c>
      <c r="F777" t="s">
        <v>53</v>
      </c>
      <c r="G777" t="s">
        <v>273</v>
      </c>
      <c r="H777" s="1">
        <v>45536</v>
      </c>
      <c r="I777">
        <v>50</v>
      </c>
      <c r="J777" s="1" t="s">
        <v>541</v>
      </c>
      <c r="K777" t="str">
        <f t="shared" si="12"/>
        <v>Expired</v>
      </c>
    </row>
    <row r="778" spans="1:11" x14ac:dyDescent="0.3">
      <c r="A778" s="3">
        <v>45873</v>
      </c>
      <c r="B778" t="s">
        <v>47</v>
      </c>
      <c r="C778" t="s">
        <v>180</v>
      </c>
      <c r="D778">
        <v>20</v>
      </c>
      <c r="E778" t="s">
        <v>56</v>
      </c>
      <c r="F778" t="s">
        <v>53</v>
      </c>
      <c r="G778" t="s">
        <v>138</v>
      </c>
      <c r="H778" s="1">
        <v>46204</v>
      </c>
      <c r="I778">
        <v>200</v>
      </c>
      <c r="J778" s="1" t="s">
        <v>541</v>
      </c>
      <c r="K778" t="str">
        <f t="shared" si="12"/>
        <v>Non-Expired</v>
      </c>
    </row>
    <row r="779" spans="1:11" x14ac:dyDescent="0.3">
      <c r="A779" s="3">
        <v>45873</v>
      </c>
      <c r="B779" t="s">
        <v>23</v>
      </c>
      <c r="C779" t="s">
        <v>74</v>
      </c>
      <c r="D779">
        <v>17</v>
      </c>
      <c r="E779" t="s">
        <v>60</v>
      </c>
      <c r="F779" t="s">
        <v>61</v>
      </c>
      <c r="G779" t="s">
        <v>188</v>
      </c>
      <c r="H779" s="1">
        <v>46388</v>
      </c>
      <c r="I779">
        <v>2040</v>
      </c>
      <c r="J779" s="1" t="s">
        <v>541</v>
      </c>
      <c r="K779" t="str">
        <f t="shared" si="12"/>
        <v>Non-Expired</v>
      </c>
    </row>
    <row r="780" spans="1:11" x14ac:dyDescent="0.3">
      <c r="A780" s="3">
        <v>45873</v>
      </c>
      <c r="B780" t="s">
        <v>97</v>
      </c>
      <c r="C780" t="s">
        <v>139</v>
      </c>
      <c r="D780">
        <v>23</v>
      </c>
      <c r="E780" t="s">
        <v>63</v>
      </c>
      <c r="F780" t="s">
        <v>50</v>
      </c>
      <c r="G780" t="s">
        <v>98</v>
      </c>
      <c r="H780" s="1">
        <v>46631</v>
      </c>
      <c r="I780">
        <v>460</v>
      </c>
      <c r="J780" s="1" t="s">
        <v>541</v>
      </c>
      <c r="K780" t="str">
        <f t="shared" si="12"/>
        <v>Non-Expired</v>
      </c>
    </row>
    <row r="781" spans="1:11" x14ac:dyDescent="0.3">
      <c r="A781" s="3">
        <v>45873</v>
      </c>
      <c r="B781" t="s">
        <v>80</v>
      </c>
      <c r="C781" t="s">
        <v>14</v>
      </c>
      <c r="D781">
        <v>6</v>
      </c>
      <c r="E781" t="s">
        <v>67</v>
      </c>
      <c r="F781" t="s">
        <v>68</v>
      </c>
      <c r="G781" t="s">
        <v>142</v>
      </c>
      <c r="H781" s="1">
        <v>46023</v>
      </c>
      <c r="I781">
        <v>180</v>
      </c>
      <c r="J781" s="1" t="s">
        <v>541</v>
      </c>
      <c r="K781" t="str">
        <f t="shared" si="12"/>
        <v>Non-Expired</v>
      </c>
    </row>
    <row r="782" spans="1:11" x14ac:dyDescent="0.3">
      <c r="A782" s="3">
        <v>45873</v>
      </c>
      <c r="B782" t="s">
        <v>65</v>
      </c>
      <c r="C782" t="s">
        <v>112</v>
      </c>
      <c r="D782">
        <v>10</v>
      </c>
      <c r="E782" t="s">
        <v>71</v>
      </c>
      <c r="F782" t="s">
        <v>72</v>
      </c>
      <c r="G782" t="s">
        <v>73</v>
      </c>
      <c r="H782" s="1">
        <v>45597</v>
      </c>
      <c r="I782">
        <v>400</v>
      </c>
      <c r="J782" s="1" t="s">
        <v>541</v>
      </c>
      <c r="K782" t="str">
        <f t="shared" si="12"/>
        <v>Expired</v>
      </c>
    </row>
    <row r="783" spans="1:11" x14ac:dyDescent="0.3">
      <c r="A783" s="3">
        <v>45873</v>
      </c>
      <c r="B783" t="s">
        <v>47</v>
      </c>
      <c r="C783" t="s">
        <v>203</v>
      </c>
      <c r="D783">
        <v>5</v>
      </c>
      <c r="E783" t="s">
        <v>75</v>
      </c>
      <c r="F783" t="s">
        <v>16</v>
      </c>
      <c r="G783" t="s">
        <v>310</v>
      </c>
      <c r="H783" s="1">
        <v>46327</v>
      </c>
      <c r="I783">
        <v>250</v>
      </c>
      <c r="J783" s="1" t="s">
        <v>541</v>
      </c>
      <c r="K783" t="str">
        <f t="shared" si="12"/>
        <v>Non-Expired</v>
      </c>
    </row>
    <row r="784" spans="1:11" x14ac:dyDescent="0.3">
      <c r="A784" s="3">
        <v>45873</v>
      </c>
      <c r="B784" t="s">
        <v>9</v>
      </c>
      <c r="C784" t="s">
        <v>128</v>
      </c>
      <c r="D784">
        <v>19</v>
      </c>
      <c r="E784" t="s">
        <v>11</v>
      </c>
      <c r="F784" t="s">
        <v>12</v>
      </c>
      <c r="G784" t="s">
        <v>256</v>
      </c>
      <c r="H784" s="1">
        <v>46419</v>
      </c>
      <c r="I784">
        <v>38</v>
      </c>
      <c r="J784" s="1" t="s">
        <v>541</v>
      </c>
      <c r="K784" t="str">
        <f t="shared" si="12"/>
        <v>Non-Expired</v>
      </c>
    </row>
    <row r="785" spans="1:11" x14ac:dyDescent="0.3">
      <c r="A785" s="3">
        <v>45873</v>
      </c>
      <c r="B785" t="s">
        <v>47</v>
      </c>
      <c r="C785" t="s">
        <v>74</v>
      </c>
      <c r="D785">
        <v>13</v>
      </c>
      <c r="E785" t="s">
        <v>15</v>
      </c>
      <c r="F785" t="s">
        <v>16</v>
      </c>
      <c r="G785" t="s">
        <v>163</v>
      </c>
      <c r="H785" s="1">
        <v>46266</v>
      </c>
      <c r="I785">
        <v>39</v>
      </c>
      <c r="J785" s="1" t="s">
        <v>541</v>
      </c>
      <c r="K785" t="str">
        <f t="shared" si="12"/>
        <v>Non-Expired</v>
      </c>
    </row>
    <row r="786" spans="1:11" x14ac:dyDescent="0.3">
      <c r="A786" s="3">
        <v>45904</v>
      </c>
      <c r="B786" t="s">
        <v>9</v>
      </c>
      <c r="C786" t="s">
        <v>88</v>
      </c>
      <c r="D786">
        <v>1</v>
      </c>
      <c r="E786" t="s">
        <v>20</v>
      </c>
      <c r="F786" t="s">
        <v>21</v>
      </c>
      <c r="G786" t="s">
        <v>436</v>
      </c>
      <c r="H786" s="1">
        <v>46204</v>
      </c>
      <c r="I786">
        <v>8</v>
      </c>
      <c r="J786" s="1" t="s">
        <v>541</v>
      </c>
      <c r="K786" t="str">
        <f t="shared" si="12"/>
        <v>Non-Expired</v>
      </c>
    </row>
    <row r="787" spans="1:11" x14ac:dyDescent="0.3">
      <c r="A787" s="3">
        <v>45904</v>
      </c>
      <c r="B787" t="s">
        <v>9</v>
      </c>
      <c r="C787" t="s">
        <v>128</v>
      </c>
      <c r="D787">
        <v>20</v>
      </c>
      <c r="E787" t="s">
        <v>25</v>
      </c>
      <c r="F787" t="s">
        <v>26</v>
      </c>
      <c r="G787" t="s">
        <v>360</v>
      </c>
      <c r="H787" s="1">
        <v>46419</v>
      </c>
      <c r="I787">
        <v>60</v>
      </c>
      <c r="J787" s="1" t="s">
        <v>541</v>
      </c>
      <c r="K787" t="str">
        <f t="shared" si="12"/>
        <v>Non-Expired</v>
      </c>
    </row>
    <row r="788" spans="1:11" x14ac:dyDescent="0.3">
      <c r="A788" s="3">
        <v>45904</v>
      </c>
      <c r="B788" t="s">
        <v>9</v>
      </c>
      <c r="C788" t="s">
        <v>131</v>
      </c>
      <c r="D788">
        <v>21</v>
      </c>
      <c r="E788" t="s">
        <v>28</v>
      </c>
      <c r="F788" t="s">
        <v>29</v>
      </c>
      <c r="G788" t="s">
        <v>383</v>
      </c>
      <c r="H788" s="1">
        <v>46569</v>
      </c>
      <c r="I788">
        <v>84</v>
      </c>
      <c r="J788" s="1" t="s">
        <v>541</v>
      </c>
      <c r="K788" t="str">
        <f t="shared" si="12"/>
        <v>Non-Expired</v>
      </c>
    </row>
    <row r="789" spans="1:11" x14ac:dyDescent="0.3">
      <c r="A789" s="3">
        <v>45904</v>
      </c>
      <c r="B789" t="s">
        <v>9</v>
      </c>
      <c r="C789" t="s">
        <v>173</v>
      </c>
      <c r="D789">
        <v>23</v>
      </c>
      <c r="E789" t="s">
        <v>33</v>
      </c>
      <c r="F789" t="s">
        <v>34</v>
      </c>
      <c r="G789" t="s">
        <v>132</v>
      </c>
      <c r="H789" s="1">
        <v>45658</v>
      </c>
      <c r="I789">
        <v>115</v>
      </c>
      <c r="J789" s="1" t="s">
        <v>541</v>
      </c>
      <c r="K789" t="str">
        <f t="shared" si="12"/>
        <v>Expired</v>
      </c>
    </row>
    <row r="790" spans="1:11" x14ac:dyDescent="0.3">
      <c r="A790" s="3">
        <v>45904</v>
      </c>
      <c r="B790" t="s">
        <v>9</v>
      </c>
      <c r="C790" t="s">
        <v>88</v>
      </c>
      <c r="D790">
        <v>29</v>
      </c>
      <c r="E790" t="s">
        <v>36</v>
      </c>
      <c r="F790" t="s">
        <v>37</v>
      </c>
      <c r="G790" t="s">
        <v>362</v>
      </c>
      <c r="H790" s="1">
        <v>46569</v>
      </c>
      <c r="I790">
        <v>174</v>
      </c>
      <c r="J790" s="1" t="s">
        <v>541</v>
      </c>
      <c r="K790" t="str">
        <f t="shared" si="12"/>
        <v>Non-Expired</v>
      </c>
    </row>
    <row r="791" spans="1:11" x14ac:dyDescent="0.3">
      <c r="A791" s="3">
        <v>45904</v>
      </c>
      <c r="B791" t="s">
        <v>31</v>
      </c>
      <c r="C791" t="s">
        <v>154</v>
      </c>
      <c r="D791">
        <v>20</v>
      </c>
      <c r="E791" t="s">
        <v>41</v>
      </c>
      <c r="F791" t="s">
        <v>12</v>
      </c>
      <c r="G791" t="s">
        <v>167</v>
      </c>
      <c r="H791" s="1">
        <v>46113</v>
      </c>
      <c r="I791">
        <v>80</v>
      </c>
      <c r="J791" s="1" t="s">
        <v>541</v>
      </c>
      <c r="K791" t="str">
        <f t="shared" si="12"/>
        <v>Non-Expired</v>
      </c>
    </row>
    <row r="792" spans="1:11" x14ac:dyDescent="0.3">
      <c r="A792" s="3">
        <v>45904</v>
      </c>
      <c r="B792" t="s">
        <v>18</v>
      </c>
      <c r="C792" t="s">
        <v>203</v>
      </c>
      <c r="D792">
        <v>10</v>
      </c>
      <c r="E792" t="s">
        <v>45</v>
      </c>
      <c r="F792" t="s">
        <v>16</v>
      </c>
      <c r="G792" t="s">
        <v>239</v>
      </c>
      <c r="H792" s="1">
        <v>46023</v>
      </c>
      <c r="I792">
        <v>100</v>
      </c>
      <c r="J792" s="1" t="s">
        <v>541</v>
      </c>
      <c r="K792" t="str">
        <f t="shared" si="12"/>
        <v>Non-Expired</v>
      </c>
    </row>
    <row r="793" spans="1:11" x14ac:dyDescent="0.3">
      <c r="A793" s="3">
        <v>45904</v>
      </c>
      <c r="B793" t="s">
        <v>9</v>
      </c>
      <c r="C793" t="s">
        <v>173</v>
      </c>
      <c r="D793">
        <v>6</v>
      </c>
      <c r="E793" t="s">
        <v>49</v>
      </c>
      <c r="F793" t="s">
        <v>50</v>
      </c>
      <c r="G793" t="s">
        <v>251</v>
      </c>
      <c r="H793" s="1">
        <v>46569</v>
      </c>
      <c r="I793">
        <v>30</v>
      </c>
      <c r="J793" s="1" t="s">
        <v>541</v>
      </c>
      <c r="K793" t="str">
        <f t="shared" si="12"/>
        <v>Non-Expired</v>
      </c>
    </row>
    <row r="794" spans="1:11" x14ac:dyDescent="0.3">
      <c r="A794" s="3">
        <v>45934</v>
      </c>
      <c r="B794" t="s">
        <v>65</v>
      </c>
      <c r="C794" t="s">
        <v>88</v>
      </c>
      <c r="D794">
        <v>12</v>
      </c>
      <c r="E794" t="s">
        <v>52</v>
      </c>
      <c r="F794" t="s">
        <v>53</v>
      </c>
      <c r="G794" t="s">
        <v>273</v>
      </c>
      <c r="H794" s="1">
        <v>45597</v>
      </c>
      <c r="I794">
        <v>24</v>
      </c>
      <c r="J794" s="1" t="s">
        <v>541</v>
      </c>
      <c r="K794" t="str">
        <f t="shared" si="12"/>
        <v>Expired</v>
      </c>
    </row>
    <row r="795" spans="1:11" x14ac:dyDescent="0.3">
      <c r="A795" s="3">
        <v>45934</v>
      </c>
      <c r="B795" t="s">
        <v>47</v>
      </c>
      <c r="C795" t="s">
        <v>112</v>
      </c>
      <c r="D795">
        <v>26</v>
      </c>
      <c r="E795" t="s">
        <v>56</v>
      </c>
      <c r="F795" t="s">
        <v>53</v>
      </c>
      <c r="G795" t="s">
        <v>138</v>
      </c>
      <c r="H795" s="1">
        <v>46054</v>
      </c>
      <c r="I795">
        <v>260</v>
      </c>
      <c r="J795" s="1" t="s">
        <v>541</v>
      </c>
      <c r="K795" t="str">
        <f t="shared" si="12"/>
        <v>Non-Expired</v>
      </c>
    </row>
    <row r="796" spans="1:11" x14ac:dyDescent="0.3">
      <c r="A796" s="3">
        <v>45934</v>
      </c>
      <c r="B796" t="s">
        <v>9</v>
      </c>
      <c r="C796" t="s">
        <v>59</v>
      </c>
      <c r="D796">
        <v>27</v>
      </c>
      <c r="E796" t="s">
        <v>60</v>
      </c>
      <c r="F796" t="s">
        <v>61</v>
      </c>
      <c r="G796" t="s">
        <v>96</v>
      </c>
      <c r="H796" s="1">
        <v>46357</v>
      </c>
      <c r="I796">
        <v>3240</v>
      </c>
      <c r="J796" s="1" t="s">
        <v>541</v>
      </c>
      <c r="K796" t="str">
        <f t="shared" si="12"/>
        <v>Non-Expired</v>
      </c>
    </row>
    <row r="797" spans="1:11" x14ac:dyDescent="0.3">
      <c r="A797" s="3">
        <v>45934</v>
      </c>
      <c r="B797" t="s">
        <v>92</v>
      </c>
      <c r="C797" t="s">
        <v>66</v>
      </c>
      <c r="D797">
        <v>3</v>
      </c>
      <c r="E797" t="s">
        <v>63</v>
      </c>
      <c r="F797" t="s">
        <v>50</v>
      </c>
      <c r="G797" t="s">
        <v>158</v>
      </c>
      <c r="H797" s="1">
        <v>46235</v>
      </c>
      <c r="I797">
        <v>60</v>
      </c>
      <c r="J797" s="1" t="s">
        <v>541</v>
      </c>
      <c r="K797" t="str">
        <f t="shared" si="12"/>
        <v>Non-Expired</v>
      </c>
    </row>
    <row r="798" spans="1:11" x14ac:dyDescent="0.3">
      <c r="A798" s="3">
        <v>45934</v>
      </c>
      <c r="B798" t="s">
        <v>80</v>
      </c>
      <c r="C798" t="s">
        <v>131</v>
      </c>
      <c r="D798">
        <v>17</v>
      </c>
      <c r="E798" t="s">
        <v>67</v>
      </c>
      <c r="F798" t="s">
        <v>68</v>
      </c>
      <c r="G798" t="s">
        <v>425</v>
      </c>
      <c r="H798" s="1">
        <v>46113</v>
      </c>
      <c r="I798">
        <v>510</v>
      </c>
      <c r="J798" s="1" t="s">
        <v>541</v>
      </c>
      <c r="K798" t="str">
        <f t="shared" si="12"/>
        <v>Non-Expired</v>
      </c>
    </row>
    <row r="799" spans="1:11" x14ac:dyDescent="0.3">
      <c r="A799" s="3">
        <v>45934</v>
      </c>
      <c r="B799" t="s">
        <v>23</v>
      </c>
      <c r="C799" t="s">
        <v>170</v>
      </c>
      <c r="D799">
        <v>14</v>
      </c>
      <c r="E799" t="s">
        <v>71</v>
      </c>
      <c r="F799" t="s">
        <v>72</v>
      </c>
      <c r="G799" t="s">
        <v>340</v>
      </c>
      <c r="H799" s="1">
        <v>45658</v>
      </c>
      <c r="I799">
        <v>560</v>
      </c>
      <c r="J799" s="1" t="s">
        <v>541</v>
      </c>
      <c r="K799" t="str">
        <f t="shared" si="12"/>
        <v>Expired</v>
      </c>
    </row>
    <row r="800" spans="1:11" x14ac:dyDescent="0.3">
      <c r="A800" s="3">
        <v>45934</v>
      </c>
      <c r="B800" t="s">
        <v>9</v>
      </c>
      <c r="C800" t="s">
        <v>24</v>
      </c>
      <c r="D800">
        <v>13</v>
      </c>
      <c r="E800" t="s">
        <v>75</v>
      </c>
      <c r="F800" t="s">
        <v>16</v>
      </c>
      <c r="G800" t="s">
        <v>358</v>
      </c>
      <c r="H800" s="1">
        <v>46600</v>
      </c>
      <c r="I800">
        <v>650</v>
      </c>
      <c r="J800" s="1" t="s">
        <v>541</v>
      </c>
      <c r="K800" t="str">
        <f t="shared" si="12"/>
        <v>Non-Expired</v>
      </c>
    </row>
    <row r="801" spans="1:11" x14ac:dyDescent="0.3">
      <c r="A801" s="3">
        <v>45934</v>
      </c>
      <c r="B801" t="s">
        <v>65</v>
      </c>
      <c r="C801" t="s">
        <v>59</v>
      </c>
      <c r="D801">
        <v>2</v>
      </c>
      <c r="E801" t="s">
        <v>11</v>
      </c>
      <c r="F801" t="s">
        <v>12</v>
      </c>
      <c r="G801" t="s">
        <v>124</v>
      </c>
      <c r="H801" s="1">
        <v>46143</v>
      </c>
      <c r="I801">
        <v>4</v>
      </c>
      <c r="J801" s="1" t="s">
        <v>541</v>
      </c>
      <c r="K801" t="str">
        <f t="shared" si="12"/>
        <v>Non-Expired</v>
      </c>
    </row>
    <row r="802" spans="1:11" x14ac:dyDescent="0.3">
      <c r="A802" s="3">
        <v>45965</v>
      </c>
      <c r="B802" t="s">
        <v>18</v>
      </c>
      <c r="C802" t="s">
        <v>78</v>
      </c>
      <c r="D802">
        <v>17</v>
      </c>
      <c r="E802" t="s">
        <v>15</v>
      </c>
      <c r="F802" t="s">
        <v>16</v>
      </c>
      <c r="G802" t="s">
        <v>233</v>
      </c>
      <c r="H802" s="1">
        <v>46296</v>
      </c>
      <c r="I802">
        <v>51</v>
      </c>
      <c r="J802" s="1" t="s">
        <v>541</v>
      </c>
      <c r="K802" t="str">
        <f t="shared" si="12"/>
        <v>Non-Expired</v>
      </c>
    </row>
    <row r="803" spans="1:11" x14ac:dyDescent="0.3">
      <c r="A803" s="3">
        <v>45965</v>
      </c>
      <c r="B803" t="s">
        <v>23</v>
      </c>
      <c r="C803" t="s">
        <v>32</v>
      </c>
      <c r="D803">
        <v>28</v>
      </c>
      <c r="E803" t="s">
        <v>20</v>
      </c>
      <c r="F803" t="s">
        <v>21</v>
      </c>
      <c r="G803" t="s">
        <v>437</v>
      </c>
      <c r="H803" s="1">
        <v>46357</v>
      </c>
      <c r="I803">
        <v>224</v>
      </c>
      <c r="J803" s="1" t="s">
        <v>541</v>
      </c>
      <c r="K803" t="str">
        <f t="shared" si="12"/>
        <v>Non-Expired</v>
      </c>
    </row>
    <row r="804" spans="1:11" x14ac:dyDescent="0.3">
      <c r="A804" s="3">
        <v>45965</v>
      </c>
      <c r="B804" t="s">
        <v>85</v>
      </c>
      <c r="C804" t="s">
        <v>170</v>
      </c>
      <c r="D804">
        <v>30</v>
      </c>
      <c r="E804" t="s">
        <v>25</v>
      </c>
      <c r="F804" t="s">
        <v>26</v>
      </c>
      <c r="G804" t="s">
        <v>209</v>
      </c>
      <c r="H804" s="1">
        <v>46661</v>
      </c>
      <c r="I804">
        <v>90</v>
      </c>
      <c r="J804" s="1" t="s">
        <v>541</v>
      </c>
      <c r="K804" t="str">
        <f t="shared" si="12"/>
        <v>Non-Expired</v>
      </c>
    </row>
    <row r="805" spans="1:11" x14ac:dyDescent="0.3">
      <c r="A805" s="3">
        <v>45965</v>
      </c>
      <c r="B805" t="s">
        <v>31</v>
      </c>
      <c r="C805" t="s">
        <v>59</v>
      </c>
      <c r="D805">
        <v>29</v>
      </c>
      <c r="E805" t="s">
        <v>28</v>
      </c>
      <c r="F805" t="s">
        <v>29</v>
      </c>
      <c r="G805" t="s">
        <v>297</v>
      </c>
      <c r="H805" s="1">
        <v>45444</v>
      </c>
      <c r="I805">
        <v>116</v>
      </c>
      <c r="J805" s="1" t="s">
        <v>541</v>
      </c>
      <c r="K805" t="str">
        <f t="shared" si="12"/>
        <v>Expired</v>
      </c>
    </row>
    <row r="806" spans="1:11" x14ac:dyDescent="0.3">
      <c r="A806" s="3">
        <v>45965</v>
      </c>
      <c r="B806" t="s">
        <v>92</v>
      </c>
      <c r="C806" t="s">
        <v>74</v>
      </c>
      <c r="D806">
        <v>19</v>
      </c>
      <c r="E806" t="s">
        <v>33</v>
      </c>
      <c r="F806" t="s">
        <v>34</v>
      </c>
      <c r="G806" t="s">
        <v>236</v>
      </c>
      <c r="H806" s="1">
        <v>46266</v>
      </c>
      <c r="I806">
        <v>95</v>
      </c>
      <c r="J806" s="1" t="s">
        <v>541</v>
      </c>
      <c r="K806" t="str">
        <f t="shared" si="12"/>
        <v>Non-Expired</v>
      </c>
    </row>
    <row r="807" spans="1:11" x14ac:dyDescent="0.3">
      <c r="A807" s="3">
        <v>45965</v>
      </c>
      <c r="B807" t="s">
        <v>9</v>
      </c>
      <c r="C807" t="s">
        <v>59</v>
      </c>
      <c r="D807">
        <v>3</v>
      </c>
      <c r="E807" t="s">
        <v>36</v>
      </c>
      <c r="F807" t="s">
        <v>37</v>
      </c>
      <c r="G807" t="s">
        <v>289</v>
      </c>
      <c r="H807" s="1">
        <v>46722</v>
      </c>
      <c r="I807">
        <v>18</v>
      </c>
      <c r="J807" s="1" t="s">
        <v>541</v>
      </c>
      <c r="K807" t="str">
        <f t="shared" si="12"/>
        <v>Non-Expired</v>
      </c>
    </row>
    <row r="808" spans="1:11" x14ac:dyDescent="0.3">
      <c r="A808" s="3">
        <v>45965</v>
      </c>
      <c r="B808" t="s">
        <v>31</v>
      </c>
      <c r="C808" t="s">
        <v>19</v>
      </c>
      <c r="D808">
        <v>6</v>
      </c>
      <c r="E808" t="s">
        <v>41</v>
      </c>
      <c r="F808" t="s">
        <v>12</v>
      </c>
      <c r="G808" t="s">
        <v>438</v>
      </c>
      <c r="H808" s="1">
        <v>46296</v>
      </c>
      <c r="I808">
        <v>24</v>
      </c>
      <c r="J808" s="1" t="s">
        <v>541</v>
      </c>
      <c r="K808" t="str">
        <f t="shared" si="12"/>
        <v>Non-Expired</v>
      </c>
    </row>
    <row r="809" spans="1:11" x14ac:dyDescent="0.3">
      <c r="A809" s="3">
        <v>45965</v>
      </c>
      <c r="B809" t="s">
        <v>39</v>
      </c>
      <c r="C809" t="s">
        <v>131</v>
      </c>
      <c r="D809">
        <v>21</v>
      </c>
      <c r="E809" t="s">
        <v>45</v>
      </c>
      <c r="F809" t="s">
        <v>16</v>
      </c>
      <c r="G809" t="s">
        <v>215</v>
      </c>
      <c r="H809" s="1">
        <v>46661</v>
      </c>
      <c r="I809">
        <v>210</v>
      </c>
      <c r="J809" s="1" t="s">
        <v>541</v>
      </c>
      <c r="K809" t="str">
        <f t="shared" si="12"/>
        <v>Non-Expired</v>
      </c>
    </row>
    <row r="810" spans="1:11" x14ac:dyDescent="0.3">
      <c r="A810" s="3">
        <v>45995</v>
      </c>
      <c r="B810" t="s">
        <v>9</v>
      </c>
      <c r="C810" t="s">
        <v>119</v>
      </c>
      <c r="D810">
        <v>21</v>
      </c>
      <c r="E810" t="s">
        <v>49</v>
      </c>
      <c r="F810" t="s">
        <v>50</v>
      </c>
      <c r="G810" t="s">
        <v>228</v>
      </c>
      <c r="H810" s="1">
        <v>46054</v>
      </c>
      <c r="I810">
        <v>105</v>
      </c>
      <c r="J810" s="1" t="s">
        <v>541</v>
      </c>
      <c r="K810" t="str">
        <f t="shared" si="12"/>
        <v>Non-Expired</v>
      </c>
    </row>
    <row r="811" spans="1:11" x14ac:dyDescent="0.3">
      <c r="A811" s="3">
        <v>45995</v>
      </c>
      <c r="B811" t="s">
        <v>43</v>
      </c>
      <c r="C811" t="s">
        <v>149</v>
      </c>
      <c r="D811">
        <v>16</v>
      </c>
      <c r="E811" t="s">
        <v>52</v>
      </c>
      <c r="F811" t="s">
        <v>53</v>
      </c>
      <c r="G811" t="s">
        <v>321</v>
      </c>
      <c r="H811" s="1">
        <v>45566</v>
      </c>
      <c r="I811">
        <v>32</v>
      </c>
      <c r="J811" s="1" t="s">
        <v>541</v>
      </c>
      <c r="K811" t="str">
        <f t="shared" si="12"/>
        <v>Expired</v>
      </c>
    </row>
    <row r="812" spans="1:11" x14ac:dyDescent="0.3">
      <c r="A812" s="3">
        <v>45995</v>
      </c>
      <c r="B812" t="s">
        <v>23</v>
      </c>
      <c r="C812" t="s">
        <v>128</v>
      </c>
      <c r="D812">
        <v>11</v>
      </c>
      <c r="E812" t="s">
        <v>56</v>
      </c>
      <c r="F812" t="s">
        <v>53</v>
      </c>
      <c r="G812" t="s">
        <v>274</v>
      </c>
      <c r="H812" s="1">
        <v>46631</v>
      </c>
      <c r="I812">
        <v>110</v>
      </c>
      <c r="J812" s="1" t="s">
        <v>541</v>
      </c>
      <c r="K812" t="str">
        <f t="shared" si="12"/>
        <v>Non-Expired</v>
      </c>
    </row>
    <row r="813" spans="1:11" x14ac:dyDescent="0.3">
      <c r="A813" s="3">
        <v>45995</v>
      </c>
      <c r="B813" t="s">
        <v>23</v>
      </c>
      <c r="C813" t="s">
        <v>139</v>
      </c>
      <c r="D813">
        <v>19</v>
      </c>
      <c r="E813" t="s">
        <v>60</v>
      </c>
      <c r="F813" t="s">
        <v>61</v>
      </c>
      <c r="G813" t="s">
        <v>393</v>
      </c>
      <c r="H813" s="1">
        <v>46661</v>
      </c>
      <c r="I813">
        <v>2280</v>
      </c>
      <c r="J813" s="1" t="s">
        <v>541</v>
      </c>
      <c r="K813" t="str">
        <f t="shared" si="12"/>
        <v>Non-Expired</v>
      </c>
    </row>
    <row r="814" spans="1:11" x14ac:dyDescent="0.3">
      <c r="A814" s="3">
        <v>45995</v>
      </c>
      <c r="B814" t="s">
        <v>58</v>
      </c>
      <c r="C814" t="s">
        <v>173</v>
      </c>
      <c r="D814">
        <v>12</v>
      </c>
      <c r="E814" t="s">
        <v>63</v>
      </c>
      <c r="F814" t="s">
        <v>50</v>
      </c>
      <c r="G814" t="s">
        <v>141</v>
      </c>
      <c r="H814" s="1">
        <v>46296</v>
      </c>
      <c r="I814">
        <v>240</v>
      </c>
      <c r="J814" s="1" t="s">
        <v>541</v>
      </c>
      <c r="K814" t="str">
        <f t="shared" si="12"/>
        <v>Non-Expired</v>
      </c>
    </row>
    <row r="815" spans="1:11" x14ac:dyDescent="0.3">
      <c r="A815" s="3">
        <v>45995</v>
      </c>
      <c r="B815" t="s">
        <v>9</v>
      </c>
      <c r="C815" t="s">
        <v>203</v>
      </c>
      <c r="D815">
        <v>3</v>
      </c>
      <c r="E815" t="s">
        <v>67</v>
      </c>
      <c r="F815" t="s">
        <v>68</v>
      </c>
      <c r="G815" t="s">
        <v>202</v>
      </c>
      <c r="H815" s="1">
        <v>46447</v>
      </c>
      <c r="I815">
        <v>90</v>
      </c>
      <c r="J815" s="1" t="s">
        <v>541</v>
      </c>
      <c r="K815" t="str">
        <f t="shared" si="12"/>
        <v>Non-Expired</v>
      </c>
    </row>
    <row r="816" spans="1:11" x14ac:dyDescent="0.3">
      <c r="A816" s="3">
        <v>45995</v>
      </c>
      <c r="B816" t="s">
        <v>90</v>
      </c>
      <c r="C816" t="s">
        <v>99</v>
      </c>
      <c r="D816">
        <v>4</v>
      </c>
      <c r="E816" t="s">
        <v>71</v>
      </c>
      <c r="F816" t="s">
        <v>72</v>
      </c>
      <c r="G816" t="s">
        <v>317</v>
      </c>
      <c r="H816" s="1">
        <v>46296</v>
      </c>
      <c r="I816">
        <v>160</v>
      </c>
      <c r="J816" s="1" t="s">
        <v>541</v>
      </c>
      <c r="K816" t="str">
        <f t="shared" si="12"/>
        <v>Non-Expired</v>
      </c>
    </row>
    <row r="817" spans="1:11" x14ac:dyDescent="0.3">
      <c r="A817" s="3">
        <v>45995</v>
      </c>
      <c r="B817" t="s">
        <v>97</v>
      </c>
      <c r="C817" t="s">
        <v>162</v>
      </c>
      <c r="D817">
        <v>3</v>
      </c>
      <c r="E817" t="s">
        <v>75</v>
      </c>
      <c r="F817" t="s">
        <v>16</v>
      </c>
      <c r="G817" t="s">
        <v>205</v>
      </c>
      <c r="H817" s="1">
        <v>46600</v>
      </c>
      <c r="I817">
        <v>150</v>
      </c>
      <c r="J817" s="1" t="s">
        <v>541</v>
      </c>
      <c r="K817" t="str">
        <f t="shared" si="12"/>
        <v>Non-Expired</v>
      </c>
    </row>
    <row r="818" spans="1:11" x14ac:dyDescent="0.3">
      <c r="A818" s="3" t="s">
        <v>516</v>
      </c>
      <c r="B818" t="s">
        <v>39</v>
      </c>
      <c r="C818" t="s">
        <v>59</v>
      </c>
      <c r="D818">
        <v>11</v>
      </c>
      <c r="E818" t="s">
        <v>11</v>
      </c>
      <c r="F818" t="s">
        <v>12</v>
      </c>
      <c r="G818" t="s">
        <v>256</v>
      </c>
      <c r="H818" s="1">
        <v>46082</v>
      </c>
      <c r="I818">
        <v>22</v>
      </c>
      <c r="J818" s="1" t="s">
        <v>541</v>
      </c>
      <c r="K818" t="str">
        <f t="shared" si="12"/>
        <v>Non-Expired</v>
      </c>
    </row>
    <row r="819" spans="1:11" x14ac:dyDescent="0.3">
      <c r="A819" s="3" t="s">
        <v>516</v>
      </c>
      <c r="B819" t="s">
        <v>9</v>
      </c>
      <c r="C819" t="s">
        <v>128</v>
      </c>
      <c r="D819">
        <v>26</v>
      </c>
      <c r="E819" t="s">
        <v>15</v>
      </c>
      <c r="F819" t="s">
        <v>16</v>
      </c>
      <c r="G819" t="s">
        <v>353</v>
      </c>
      <c r="H819" s="1">
        <v>46235</v>
      </c>
      <c r="I819">
        <v>78</v>
      </c>
      <c r="J819" s="1" t="s">
        <v>541</v>
      </c>
      <c r="K819" t="str">
        <f t="shared" si="12"/>
        <v>Non-Expired</v>
      </c>
    </row>
    <row r="820" spans="1:11" x14ac:dyDescent="0.3">
      <c r="A820" s="3" t="s">
        <v>516</v>
      </c>
      <c r="B820" t="s">
        <v>9</v>
      </c>
      <c r="C820" t="s">
        <v>139</v>
      </c>
      <c r="D820">
        <v>23</v>
      </c>
      <c r="E820" t="s">
        <v>20</v>
      </c>
      <c r="F820" t="s">
        <v>21</v>
      </c>
      <c r="G820" t="s">
        <v>439</v>
      </c>
      <c r="H820" s="1">
        <v>45748</v>
      </c>
      <c r="I820">
        <v>184</v>
      </c>
      <c r="J820" s="1" t="s">
        <v>541</v>
      </c>
      <c r="K820" t="str">
        <f t="shared" si="12"/>
        <v>Expired</v>
      </c>
    </row>
    <row r="821" spans="1:11" x14ac:dyDescent="0.3">
      <c r="A821" s="3" t="s">
        <v>516</v>
      </c>
      <c r="B821" t="s">
        <v>9</v>
      </c>
      <c r="C821" t="s">
        <v>88</v>
      </c>
      <c r="D821">
        <v>19</v>
      </c>
      <c r="E821" t="s">
        <v>25</v>
      </c>
      <c r="F821" t="s">
        <v>26</v>
      </c>
      <c r="G821" t="s">
        <v>195</v>
      </c>
      <c r="H821" s="1">
        <v>46631</v>
      </c>
      <c r="I821">
        <v>57</v>
      </c>
      <c r="J821" s="1" t="s">
        <v>541</v>
      </c>
      <c r="K821" t="str">
        <f t="shared" si="12"/>
        <v>Non-Expired</v>
      </c>
    </row>
    <row r="822" spans="1:11" x14ac:dyDescent="0.3">
      <c r="A822" s="3" t="s">
        <v>516</v>
      </c>
      <c r="B822" t="s">
        <v>31</v>
      </c>
      <c r="C822" t="s">
        <v>44</v>
      </c>
      <c r="D822">
        <v>12</v>
      </c>
      <c r="E822" t="s">
        <v>28</v>
      </c>
      <c r="F822" t="s">
        <v>29</v>
      </c>
      <c r="G822" t="s">
        <v>84</v>
      </c>
      <c r="H822" s="1">
        <v>46508</v>
      </c>
      <c r="I822">
        <v>48</v>
      </c>
      <c r="J822" s="1" t="s">
        <v>541</v>
      </c>
      <c r="K822" t="str">
        <f t="shared" si="12"/>
        <v>Non-Expired</v>
      </c>
    </row>
    <row r="823" spans="1:11" x14ac:dyDescent="0.3">
      <c r="A823" s="3" t="s">
        <v>516</v>
      </c>
      <c r="B823" t="s">
        <v>58</v>
      </c>
      <c r="C823" t="s">
        <v>74</v>
      </c>
      <c r="D823">
        <v>8</v>
      </c>
      <c r="E823" t="s">
        <v>33</v>
      </c>
      <c r="F823" t="s">
        <v>34</v>
      </c>
      <c r="G823" t="s">
        <v>405</v>
      </c>
      <c r="H823" s="1">
        <v>46357</v>
      </c>
      <c r="I823">
        <v>40</v>
      </c>
      <c r="J823" s="1" t="s">
        <v>541</v>
      </c>
      <c r="K823" t="str">
        <f t="shared" si="12"/>
        <v>Non-Expired</v>
      </c>
    </row>
    <row r="824" spans="1:11" x14ac:dyDescent="0.3">
      <c r="A824" s="3" t="s">
        <v>516</v>
      </c>
      <c r="B824" t="s">
        <v>43</v>
      </c>
      <c r="C824" t="s">
        <v>139</v>
      </c>
      <c r="D824">
        <v>3</v>
      </c>
      <c r="E824" t="s">
        <v>36</v>
      </c>
      <c r="F824" t="s">
        <v>37</v>
      </c>
      <c r="G824" t="s">
        <v>440</v>
      </c>
      <c r="H824" s="1">
        <v>45627</v>
      </c>
      <c r="I824">
        <v>18</v>
      </c>
      <c r="J824" s="1" t="s">
        <v>541</v>
      </c>
      <c r="K824" t="str">
        <f t="shared" si="12"/>
        <v>Expired</v>
      </c>
    </row>
    <row r="825" spans="1:11" x14ac:dyDescent="0.3">
      <c r="A825" s="3" t="s">
        <v>516</v>
      </c>
      <c r="B825" t="s">
        <v>9</v>
      </c>
      <c r="C825" t="s">
        <v>210</v>
      </c>
      <c r="D825">
        <v>21</v>
      </c>
      <c r="E825" t="s">
        <v>41</v>
      </c>
      <c r="F825" t="s">
        <v>12</v>
      </c>
      <c r="G825" t="s">
        <v>441</v>
      </c>
      <c r="H825" s="1">
        <v>46569</v>
      </c>
      <c r="I825">
        <v>84</v>
      </c>
      <c r="J825" s="1" t="s">
        <v>541</v>
      </c>
      <c r="K825" t="str">
        <f t="shared" si="12"/>
        <v>Non-Expired</v>
      </c>
    </row>
    <row r="826" spans="1:11" x14ac:dyDescent="0.3">
      <c r="A826" s="3" t="s">
        <v>517</v>
      </c>
      <c r="B826" t="s">
        <v>92</v>
      </c>
      <c r="C826" t="s">
        <v>40</v>
      </c>
      <c r="D826">
        <v>5</v>
      </c>
      <c r="E826" t="s">
        <v>45</v>
      </c>
      <c r="F826" t="s">
        <v>16</v>
      </c>
      <c r="G826" t="s">
        <v>184</v>
      </c>
      <c r="H826" s="1">
        <v>46692</v>
      </c>
      <c r="I826">
        <v>50</v>
      </c>
      <c r="J826" s="1" t="s">
        <v>541</v>
      </c>
      <c r="K826" t="str">
        <f t="shared" si="12"/>
        <v>Non-Expired</v>
      </c>
    </row>
    <row r="827" spans="1:11" x14ac:dyDescent="0.3">
      <c r="A827" s="3" t="s">
        <v>517</v>
      </c>
      <c r="B827" t="s">
        <v>39</v>
      </c>
      <c r="C827" t="s">
        <v>128</v>
      </c>
      <c r="D827">
        <v>11</v>
      </c>
      <c r="E827" t="s">
        <v>49</v>
      </c>
      <c r="F827" t="s">
        <v>50</v>
      </c>
      <c r="G827" t="s">
        <v>385</v>
      </c>
      <c r="H827" s="1">
        <v>46082</v>
      </c>
      <c r="I827">
        <v>55</v>
      </c>
      <c r="J827" s="1" t="s">
        <v>541</v>
      </c>
      <c r="K827" t="str">
        <f t="shared" si="12"/>
        <v>Non-Expired</v>
      </c>
    </row>
    <row r="828" spans="1:11" x14ac:dyDescent="0.3">
      <c r="A828" s="3" t="s">
        <v>517</v>
      </c>
      <c r="B828" t="s">
        <v>9</v>
      </c>
      <c r="C828" t="s">
        <v>210</v>
      </c>
      <c r="D828">
        <v>11</v>
      </c>
      <c r="E828" t="s">
        <v>52</v>
      </c>
      <c r="F828" t="s">
        <v>53</v>
      </c>
      <c r="G828" t="s">
        <v>442</v>
      </c>
      <c r="H828" s="1">
        <v>46478</v>
      </c>
      <c r="I828">
        <v>22</v>
      </c>
      <c r="J828" s="1" t="s">
        <v>541</v>
      </c>
      <c r="K828" t="str">
        <f t="shared" si="12"/>
        <v>Non-Expired</v>
      </c>
    </row>
    <row r="829" spans="1:11" x14ac:dyDescent="0.3">
      <c r="A829" s="3" t="s">
        <v>517</v>
      </c>
      <c r="B829" t="s">
        <v>18</v>
      </c>
      <c r="C829" t="s">
        <v>170</v>
      </c>
      <c r="D829">
        <v>17</v>
      </c>
      <c r="E829" t="s">
        <v>56</v>
      </c>
      <c r="F829" t="s">
        <v>53</v>
      </c>
      <c r="G829" t="s">
        <v>95</v>
      </c>
      <c r="H829" s="1">
        <v>46569</v>
      </c>
      <c r="I829">
        <v>170</v>
      </c>
      <c r="J829" s="1" t="s">
        <v>541</v>
      </c>
      <c r="K829" t="str">
        <f t="shared" si="12"/>
        <v>Non-Expired</v>
      </c>
    </row>
    <row r="830" spans="1:11" x14ac:dyDescent="0.3">
      <c r="A830" s="3" t="s">
        <v>517</v>
      </c>
      <c r="B830" t="s">
        <v>65</v>
      </c>
      <c r="C830" t="s">
        <v>203</v>
      </c>
      <c r="D830">
        <v>14</v>
      </c>
      <c r="E830" t="s">
        <v>60</v>
      </c>
      <c r="F830" t="s">
        <v>61</v>
      </c>
      <c r="G830" t="s">
        <v>443</v>
      </c>
      <c r="H830" s="1">
        <v>45413</v>
      </c>
      <c r="I830">
        <v>1680</v>
      </c>
      <c r="J830" s="1" t="s">
        <v>541</v>
      </c>
      <c r="K830" t="str">
        <f t="shared" si="12"/>
        <v>Expired</v>
      </c>
    </row>
    <row r="831" spans="1:11" x14ac:dyDescent="0.3">
      <c r="A831" s="3" t="s">
        <v>517</v>
      </c>
      <c r="B831" t="s">
        <v>65</v>
      </c>
      <c r="C831" t="s">
        <v>203</v>
      </c>
      <c r="D831">
        <v>5</v>
      </c>
      <c r="E831" t="s">
        <v>63</v>
      </c>
      <c r="F831" t="s">
        <v>50</v>
      </c>
      <c r="G831" t="s">
        <v>293</v>
      </c>
      <c r="H831" s="1">
        <v>46508</v>
      </c>
      <c r="I831">
        <v>100</v>
      </c>
      <c r="J831" s="1" t="s">
        <v>541</v>
      </c>
      <c r="K831" t="str">
        <f t="shared" si="12"/>
        <v>Non-Expired</v>
      </c>
    </row>
    <row r="832" spans="1:11" x14ac:dyDescent="0.3">
      <c r="A832" s="3" t="s">
        <v>517</v>
      </c>
      <c r="B832" t="s">
        <v>9</v>
      </c>
      <c r="C832" t="s">
        <v>170</v>
      </c>
      <c r="D832">
        <v>27</v>
      </c>
      <c r="E832" t="s">
        <v>67</v>
      </c>
      <c r="F832" t="s">
        <v>68</v>
      </c>
      <c r="G832" t="s">
        <v>159</v>
      </c>
      <c r="H832" s="1">
        <v>46143</v>
      </c>
      <c r="I832">
        <v>810</v>
      </c>
      <c r="J832" s="1" t="s">
        <v>541</v>
      </c>
      <c r="K832" t="str">
        <f t="shared" si="12"/>
        <v>Non-Expired</v>
      </c>
    </row>
    <row r="833" spans="1:11" x14ac:dyDescent="0.3">
      <c r="A833" s="3" t="s">
        <v>517</v>
      </c>
      <c r="B833" t="s">
        <v>90</v>
      </c>
      <c r="C833" t="s">
        <v>48</v>
      </c>
      <c r="D833">
        <v>24</v>
      </c>
      <c r="E833" t="s">
        <v>71</v>
      </c>
      <c r="F833" t="s">
        <v>72</v>
      </c>
      <c r="G833" t="s">
        <v>309</v>
      </c>
      <c r="H833" s="1">
        <v>46143</v>
      </c>
      <c r="I833">
        <v>960</v>
      </c>
      <c r="J833" s="1" t="s">
        <v>541</v>
      </c>
      <c r="K833" t="str">
        <f t="shared" si="12"/>
        <v>Non-Expired</v>
      </c>
    </row>
    <row r="834" spans="1:11" x14ac:dyDescent="0.3">
      <c r="A834" s="3" t="s">
        <v>518</v>
      </c>
      <c r="B834" t="s">
        <v>80</v>
      </c>
      <c r="C834" t="s">
        <v>44</v>
      </c>
      <c r="D834">
        <v>10</v>
      </c>
      <c r="E834" t="s">
        <v>75</v>
      </c>
      <c r="F834" t="s">
        <v>16</v>
      </c>
      <c r="G834" t="s">
        <v>268</v>
      </c>
      <c r="H834" s="1">
        <v>46327</v>
      </c>
      <c r="I834">
        <v>500</v>
      </c>
      <c r="J834" s="1" t="s">
        <v>541</v>
      </c>
      <c r="K834" t="str">
        <f t="shared" si="12"/>
        <v>Non-Expired</v>
      </c>
    </row>
    <row r="835" spans="1:11" x14ac:dyDescent="0.3">
      <c r="A835" s="3" t="s">
        <v>518</v>
      </c>
      <c r="B835" t="s">
        <v>9</v>
      </c>
      <c r="C835" t="s">
        <v>88</v>
      </c>
      <c r="D835">
        <v>15</v>
      </c>
      <c r="E835" t="s">
        <v>11</v>
      </c>
      <c r="F835" t="s">
        <v>12</v>
      </c>
      <c r="G835" t="s">
        <v>444</v>
      </c>
      <c r="H835" s="1">
        <v>46631</v>
      </c>
      <c r="I835">
        <v>30</v>
      </c>
      <c r="J835" s="1" t="s">
        <v>541</v>
      </c>
      <c r="K835" t="str">
        <f t="shared" ref="K835:K898" si="13">IF(H835&lt;=DATE(2025,5,5),"Expired","Non-Expired")</f>
        <v>Non-Expired</v>
      </c>
    </row>
    <row r="836" spans="1:11" x14ac:dyDescent="0.3">
      <c r="A836" s="3" t="s">
        <v>518</v>
      </c>
      <c r="B836" t="s">
        <v>43</v>
      </c>
      <c r="C836" t="s">
        <v>139</v>
      </c>
      <c r="D836">
        <v>10</v>
      </c>
      <c r="E836" t="s">
        <v>15</v>
      </c>
      <c r="F836" t="s">
        <v>16</v>
      </c>
      <c r="G836" t="s">
        <v>404</v>
      </c>
      <c r="H836" s="1">
        <v>45444</v>
      </c>
      <c r="I836">
        <v>30</v>
      </c>
      <c r="J836" s="1" t="s">
        <v>541</v>
      </c>
      <c r="K836" t="str">
        <f t="shared" si="13"/>
        <v>Expired</v>
      </c>
    </row>
    <row r="837" spans="1:11" x14ac:dyDescent="0.3">
      <c r="A837" s="3" t="s">
        <v>518</v>
      </c>
      <c r="B837" t="s">
        <v>9</v>
      </c>
      <c r="C837" t="s">
        <v>70</v>
      </c>
      <c r="D837">
        <v>23</v>
      </c>
      <c r="E837" t="s">
        <v>20</v>
      </c>
      <c r="F837" t="s">
        <v>21</v>
      </c>
      <c r="G837" t="s">
        <v>146</v>
      </c>
      <c r="H837" s="1">
        <v>46235</v>
      </c>
      <c r="I837">
        <v>184</v>
      </c>
      <c r="J837" s="1" t="s">
        <v>541</v>
      </c>
      <c r="K837" t="str">
        <f t="shared" si="13"/>
        <v>Non-Expired</v>
      </c>
    </row>
    <row r="838" spans="1:11" x14ac:dyDescent="0.3">
      <c r="A838" s="3" t="s">
        <v>518</v>
      </c>
      <c r="B838" t="s">
        <v>80</v>
      </c>
      <c r="C838" t="s">
        <v>66</v>
      </c>
      <c r="D838">
        <v>27</v>
      </c>
      <c r="E838" t="s">
        <v>25</v>
      </c>
      <c r="F838" t="s">
        <v>26</v>
      </c>
      <c r="G838" t="s">
        <v>164</v>
      </c>
      <c r="H838" s="1">
        <v>46357</v>
      </c>
      <c r="I838">
        <v>81</v>
      </c>
      <c r="J838" s="1" t="s">
        <v>541</v>
      </c>
      <c r="K838" t="str">
        <f t="shared" si="13"/>
        <v>Non-Expired</v>
      </c>
    </row>
    <row r="839" spans="1:11" x14ac:dyDescent="0.3">
      <c r="A839" s="3" t="s">
        <v>518</v>
      </c>
      <c r="B839" t="s">
        <v>18</v>
      </c>
      <c r="C839" t="s">
        <v>10</v>
      </c>
      <c r="D839">
        <v>7</v>
      </c>
      <c r="E839" t="s">
        <v>28</v>
      </c>
      <c r="F839" t="s">
        <v>29</v>
      </c>
      <c r="G839" t="s">
        <v>324</v>
      </c>
      <c r="H839" s="1">
        <v>46631</v>
      </c>
      <c r="I839">
        <v>28</v>
      </c>
      <c r="J839" s="1" t="s">
        <v>541</v>
      </c>
      <c r="K839" t="str">
        <f t="shared" si="13"/>
        <v>Non-Expired</v>
      </c>
    </row>
    <row r="840" spans="1:11" x14ac:dyDescent="0.3">
      <c r="A840" s="3" t="s">
        <v>518</v>
      </c>
      <c r="B840" t="s">
        <v>47</v>
      </c>
      <c r="C840" t="s">
        <v>40</v>
      </c>
      <c r="D840">
        <v>22</v>
      </c>
      <c r="E840" t="s">
        <v>33</v>
      </c>
      <c r="F840" t="s">
        <v>34</v>
      </c>
      <c r="G840" t="s">
        <v>361</v>
      </c>
      <c r="H840" s="1">
        <v>46539</v>
      </c>
      <c r="I840">
        <v>110</v>
      </c>
      <c r="J840" s="1" t="s">
        <v>541</v>
      </c>
      <c r="K840" t="str">
        <f t="shared" si="13"/>
        <v>Non-Expired</v>
      </c>
    </row>
    <row r="841" spans="1:11" x14ac:dyDescent="0.3">
      <c r="A841" s="3" t="s">
        <v>518</v>
      </c>
      <c r="B841" t="s">
        <v>90</v>
      </c>
      <c r="C841" t="s">
        <v>10</v>
      </c>
      <c r="D841">
        <v>18</v>
      </c>
      <c r="E841" t="s">
        <v>36</v>
      </c>
      <c r="F841" t="s">
        <v>37</v>
      </c>
      <c r="G841" t="s">
        <v>113</v>
      </c>
      <c r="H841" s="1">
        <v>46357</v>
      </c>
      <c r="I841">
        <v>108</v>
      </c>
      <c r="J841" s="1" t="s">
        <v>541</v>
      </c>
      <c r="K841" t="str">
        <f t="shared" si="13"/>
        <v>Non-Expired</v>
      </c>
    </row>
    <row r="842" spans="1:11" x14ac:dyDescent="0.3">
      <c r="A842" s="3" t="s">
        <v>519</v>
      </c>
      <c r="B842" t="s">
        <v>9</v>
      </c>
      <c r="C842" t="s">
        <v>14</v>
      </c>
      <c r="D842">
        <v>14</v>
      </c>
      <c r="E842" t="s">
        <v>41</v>
      </c>
      <c r="F842" t="s">
        <v>12</v>
      </c>
      <c r="G842" t="s">
        <v>134</v>
      </c>
      <c r="H842" s="1">
        <v>46508</v>
      </c>
      <c r="I842">
        <v>56</v>
      </c>
      <c r="J842" s="1" t="s">
        <v>541</v>
      </c>
      <c r="K842" t="str">
        <f t="shared" si="13"/>
        <v>Non-Expired</v>
      </c>
    </row>
    <row r="843" spans="1:11" x14ac:dyDescent="0.3">
      <c r="A843" s="3" t="s">
        <v>519</v>
      </c>
      <c r="B843" t="s">
        <v>80</v>
      </c>
      <c r="C843" t="s">
        <v>40</v>
      </c>
      <c r="D843">
        <v>29</v>
      </c>
      <c r="E843" t="s">
        <v>45</v>
      </c>
      <c r="F843" t="s">
        <v>16</v>
      </c>
      <c r="G843" t="s">
        <v>416</v>
      </c>
      <c r="H843" s="1">
        <v>45505</v>
      </c>
      <c r="I843">
        <v>290</v>
      </c>
      <c r="J843" s="1" t="s">
        <v>541</v>
      </c>
      <c r="K843" t="str">
        <f t="shared" si="13"/>
        <v>Expired</v>
      </c>
    </row>
    <row r="844" spans="1:11" x14ac:dyDescent="0.3">
      <c r="A844" s="3" t="s">
        <v>519</v>
      </c>
      <c r="B844" t="s">
        <v>92</v>
      </c>
      <c r="C844" t="s">
        <v>203</v>
      </c>
      <c r="D844">
        <v>18</v>
      </c>
      <c r="E844" t="s">
        <v>49</v>
      </c>
      <c r="F844" t="s">
        <v>50</v>
      </c>
      <c r="G844" t="s">
        <v>136</v>
      </c>
      <c r="H844" s="1">
        <v>46631</v>
      </c>
      <c r="I844">
        <v>90</v>
      </c>
      <c r="J844" s="1" t="s">
        <v>541</v>
      </c>
      <c r="K844" t="str">
        <f t="shared" si="13"/>
        <v>Non-Expired</v>
      </c>
    </row>
    <row r="845" spans="1:11" x14ac:dyDescent="0.3">
      <c r="A845" s="3" t="s">
        <v>519</v>
      </c>
      <c r="B845" t="s">
        <v>31</v>
      </c>
      <c r="C845" t="s">
        <v>48</v>
      </c>
      <c r="D845">
        <v>10</v>
      </c>
      <c r="E845" t="s">
        <v>52</v>
      </c>
      <c r="F845" t="s">
        <v>53</v>
      </c>
      <c r="G845" t="s">
        <v>326</v>
      </c>
      <c r="H845" s="1">
        <v>46539</v>
      </c>
      <c r="I845">
        <v>20</v>
      </c>
      <c r="J845" s="1" t="s">
        <v>541</v>
      </c>
      <c r="K845" t="str">
        <f t="shared" si="13"/>
        <v>Non-Expired</v>
      </c>
    </row>
    <row r="846" spans="1:11" x14ac:dyDescent="0.3">
      <c r="A846" s="3" t="s">
        <v>519</v>
      </c>
      <c r="B846" t="s">
        <v>9</v>
      </c>
      <c r="C846" t="s">
        <v>173</v>
      </c>
      <c r="D846">
        <v>13</v>
      </c>
      <c r="E846" t="s">
        <v>56</v>
      </c>
      <c r="F846" t="s">
        <v>53</v>
      </c>
      <c r="G846" t="s">
        <v>429</v>
      </c>
      <c r="H846" s="1">
        <v>46539</v>
      </c>
      <c r="I846">
        <v>130</v>
      </c>
      <c r="J846" s="1" t="s">
        <v>541</v>
      </c>
      <c r="K846" t="str">
        <f t="shared" si="13"/>
        <v>Non-Expired</v>
      </c>
    </row>
    <row r="847" spans="1:11" x14ac:dyDescent="0.3">
      <c r="A847" s="3" t="s">
        <v>519</v>
      </c>
      <c r="B847" t="s">
        <v>92</v>
      </c>
      <c r="C847" t="s">
        <v>70</v>
      </c>
      <c r="D847">
        <v>15</v>
      </c>
      <c r="E847" t="s">
        <v>60</v>
      </c>
      <c r="F847" t="s">
        <v>61</v>
      </c>
      <c r="G847" t="s">
        <v>118</v>
      </c>
      <c r="H847" s="1">
        <v>46692</v>
      </c>
      <c r="I847">
        <v>1800</v>
      </c>
      <c r="J847" s="1" t="s">
        <v>541</v>
      </c>
      <c r="K847" t="str">
        <f t="shared" si="13"/>
        <v>Non-Expired</v>
      </c>
    </row>
    <row r="848" spans="1:11" x14ac:dyDescent="0.3">
      <c r="A848" s="3" t="s">
        <v>519</v>
      </c>
      <c r="B848" t="s">
        <v>31</v>
      </c>
      <c r="C848" t="s">
        <v>14</v>
      </c>
      <c r="D848">
        <v>5</v>
      </c>
      <c r="E848" t="s">
        <v>63</v>
      </c>
      <c r="F848" t="s">
        <v>50</v>
      </c>
      <c r="G848" t="s">
        <v>201</v>
      </c>
      <c r="H848" s="1">
        <v>46327</v>
      </c>
      <c r="I848">
        <v>100</v>
      </c>
      <c r="J848" s="1" t="s">
        <v>541</v>
      </c>
      <c r="K848" t="str">
        <f t="shared" si="13"/>
        <v>Non-Expired</v>
      </c>
    </row>
    <row r="849" spans="1:11" x14ac:dyDescent="0.3">
      <c r="A849" s="3" t="s">
        <v>519</v>
      </c>
      <c r="B849" t="s">
        <v>18</v>
      </c>
      <c r="C849" t="s">
        <v>40</v>
      </c>
      <c r="D849">
        <v>26</v>
      </c>
      <c r="E849" t="s">
        <v>67</v>
      </c>
      <c r="F849" t="s">
        <v>68</v>
      </c>
      <c r="G849" t="s">
        <v>190</v>
      </c>
      <c r="H849" s="1">
        <v>46143</v>
      </c>
      <c r="I849">
        <v>780</v>
      </c>
      <c r="J849" s="1" t="s">
        <v>541</v>
      </c>
      <c r="K849" t="str">
        <f t="shared" si="13"/>
        <v>Non-Expired</v>
      </c>
    </row>
    <row r="850" spans="1:11" x14ac:dyDescent="0.3">
      <c r="A850" s="3" t="s">
        <v>520</v>
      </c>
      <c r="B850" t="s">
        <v>58</v>
      </c>
      <c r="C850" t="s">
        <v>44</v>
      </c>
      <c r="D850">
        <v>11</v>
      </c>
      <c r="E850" t="s">
        <v>71</v>
      </c>
      <c r="F850" t="s">
        <v>72</v>
      </c>
      <c r="G850" t="s">
        <v>317</v>
      </c>
      <c r="H850" s="1">
        <v>45170</v>
      </c>
      <c r="I850">
        <v>440</v>
      </c>
      <c r="J850" s="1" t="s">
        <v>541</v>
      </c>
      <c r="K850" t="str">
        <f t="shared" si="13"/>
        <v>Expired</v>
      </c>
    </row>
    <row r="851" spans="1:11" x14ac:dyDescent="0.3">
      <c r="A851" s="3" t="s">
        <v>520</v>
      </c>
      <c r="B851" t="s">
        <v>85</v>
      </c>
      <c r="C851" t="s">
        <v>40</v>
      </c>
      <c r="D851">
        <v>5</v>
      </c>
      <c r="E851" t="s">
        <v>75</v>
      </c>
      <c r="F851" t="s">
        <v>16</v>
      </c>
      <c r="G851" t="s">
        <v>123</v>
      </c>
      <c r="H851" s="1">
        <v>46661</v>
      </c>
      <c r="I851">
        <v>250</v>
      </c>
      <c r="J851" s="1" t="s">
        <v>541</v>
      </c>
      <c r="K851" t="str">
        <f t="shared" si="13"/>
        <v>Non-Expired</v>
      </c>
    </row>
    <row r="852" spans="1:11" x14ac:dyDescent="0.3">
      <c r="A852" s="3" t="s">
        <v>520</v>
      </c>
      <c r="B852" t="s">
        <v>9</v>
      </c>
      <c r="C852" t="s">
        <v>48</v>
      </c>
      <c r="D852">
        <v>23</v>
      </c>
      <c r="E852" t="s">
        <v>11</v>
      </c>
      <c r="F852" t="s">
        <v>12</v>
      </c>
      <c r="G852" t="s">
        <v>13</v>
      </c>
      <c r="H852" s="1">
        <v>46722</v>
      </c>
      <c r="I852">
        <v>46</v>
      </c>
      <c r="J852" s="1" t="s">
        <v>541</v>
      </c>
      <c r="K852" t="str">
        <f t="shared" si="13"/>
        <v>Non-Expired</v>
      </c>
    </row>
    <row r="853" spans="1:11" x14ac:dyDescent="0.3">
      <c r="A853" s="3" t="s">
        <v>520</v>
      </c>
      <c r="B853" t="s">
        <v>18</v>
      </c>
      <c r="C853" t="s">
        <v>107</v>
      </c>
      <c r="D853">
        <v>20</v>
      </c>
      <c r="E853" t="s">
        <v>15</v>
      </c>
      <c r="F853" t="s">
        <v>16</v>
      </c>
      <c r="G853" t="s">
        <v>400</v>
      </c>
      <c r="H853" s="1">
        <v>46296</v>
      </c>
      <c r="I853">
        <v>60</v>
      </c>
      <c r="J853" s="1" t="s">
        <v>541</v>
      </c>
      <c r="K853" t="str">
        <f t="shared" si="13"/>
        <v>Non-Expired</v>
      </c>
    </row>
    <row r="854" spans="1:11" x14ac:dyDescent="0.3">
      <c r="A854" s="3" t="s">
        <v>520</v>
      </c>
      <c r="B854" t="s">
        <v>31</v>
      </c>
      <c r="C854" t="s">
        <v>210</v>
      </c>
      <c r="D854">
        <v>18</v>
      </c>
      <c r="E854" t="s">
        <v>20</v>
      </c>
      <c r="F854" t="s">
        <v>21</v>
      </c>
      <c r="G854" t="s">
        <v>382</v>
      </c>
      <c r="H854" s="1">
        <v>46235</v>
      </c>
      <c r="I854">
        <v>144</v>
      </c>
      <c r="J854" s="1" t="s">
        <v>541</v>
      </c>
      <c r="K854" t="str">
        <f t="shared" si="13"/>
        <v>Non-Expired</v>
      </c>
    </row>
    <row r="855" spans="1:11" x14ac:dyDescent="0.3">
      <c r="A855" s="3" t="s">
        <v>520</v>
      </c>
      <c r="B855" t="s">
        <v>9</v>
      </c>
      <c r="C855" t="s">
        <v>107</v>
      </c>
      <c r="D855">
        <v>7</v>
      </c>
      <c r="E855" t="s">
        <v>25</v>
      </c>
      <c r="F855" t="s">
        <v>26</v>
      </c>
      <c r="G855" t="s">
        <v>27</v>
      </c>
      <c r="H855" s="1">
        <v>45444</v>
      </c>
      <c r="I855">
        <v>21</v>
      </c>
      <c r="J855" s="1" t="s">
        <v>541</v>
      </c>
      <c r="K855" t="str">
        <f t="shared" si="13"/>
        <v>Expired</v>
      </c>
    </row>
    <row r="856" spans="1:11" x14ac:dyDescent="0.3">
      <c r="A856" s="3" t="s">
        <v>520</v>
      </c>
      <c r="B856" t="s">
        <v>39</v>
      </c>
      <c r="C856" t="s">
        <v>170</v>
      </c>
      <c r="D856">
        <v>24</v>
      </c>
      <c r="E856" t="s">
        <v>28</v>
      </c>
      <c r="F856" t="s">
        <v>29</v>
      </c>
      <c r="G856" t="s">
        <v>165</v>
      </c>
      <c r="H856" s="1">
        <v>45170</v>
      </c>
      <c r="I856">
        <v>96</v>
      </c>
      <c r="J856" s="1" t="s">
        <v>541</v>
      </c>
      <c r="K856" t="str">
        <f t="shared" si="13"/>
        <v>Expired</v>
      </c>
    </row>
    <row r="857" spans="1:11" x14ac:dyDescent="0.3">
      <c r="A857" s="3" t="s">
        <v>520</v>
      </c>
      <c r="B857" t="s">
        <v>18</v>
      </c>
      <c r="C857" t="s">
        <v>78</v>
      </c>
      <c r="D857">
        <v>12</v>
      </c>
      <c r="E857" t="s">
        <v>33</v>
      </c>
      <c r="F857" t="s">
        <v>34</v>
      </c>
      <c r="G857" t="s">
        <v>279</v>
      </c>
      <c r="H857" s="1">
        <v>46266</v>
      </c>
      <c r="I857">
        <v>60</v>
      </c>
      <c r="J857" s="1" t="s">
        <v>541</v>
      </c>
      <c r="K857" t="str">
        <f t="shared" si="13"/>
        <v>Non-Expired</v>
      </c>
    </row>
    <row r="858" spans="1:11" x14ac:dyDescent="0.3">
      <c r="A858" s="3" t="s">
        <v>521</v>
      </c>
      <c r="B858" t="s">
        <v>47</v>
      </c>
      <c r="C858" t="s">
        <v>88</v>
      </c>
      <c r="D858">
        <v>23</v>
      </c>
      <c r="E858" t="s">
        <v>36</v>
      </c>
      <c r="F858" t="s">
        <v>37</v>
      </c>
      <c r="G858" t="s">
        <v>270</v>
      </c>
      <c r="H858" s="1">
        <v>46508</v>
      </c>
      <c r="I858">
        <v>138</v>
      </c>
      <c r="J858" s="1" t="s">
        <v>541</v>
      </c>
      <c r="K858" t="str">
        <f t="shared" si="13"/>
        <v>Non-Expired</v>
      </c>
    </row>
    <row r="859" spans="1:11" x14ac:dyDescent="0.3">
      <c r="A859" s="3" t="s">
        <v>521</v>
      </c>
      <c r="B859" t="s">
        <v>92</v>
      </c>
      <c r="C859" t="s">
        <v>107</v>
      </c>
      <c r="D859">
        <v>25</v>
      </c>
      <c r="E859" t="s">
        <v>41</v>
      </c>
      <c r="F859" t="s">
        <v>12</v>
      </c>
      <c r="G859" t="s">
        <v>89</v>
      </c>
      <c r="H859" s="1">
        <v>46569</v>
      </c>
      <c r="I859">
        <v>100</v>
      </c>
      <c r="J859" s="1" t="s">
        <v>541</v>
      </c>
      <c r="K859" t="str">
        <f t="shared" si="13"/>
        <v>Non-Expired</v>
      </c>
    </row>
    <row r="860" spans="1:11" x14ac:dyDescent="0.3">
      <c r="A860" s="3" t="s">
        <v>521</v>
      </c>
      <c r="B860" t="s">
        <v>65</v>
      </c>
      <c r="C860" t="s">
        <v>83</v>
      </c>
      <c r="D860">
        <v>11</v>
      </c>
      <c r="E860" t="s">
        <v>45</v>
      </c>
      <c r="F860" t="s">
        <v>16</v>
      </c>
      <c r="G860" t="s">
        <v>445</v>
      </c>
      <c r="H860" s="1">
        <v>45597</v>
      </c>
      <c r="I860">
        <v>110</v>
      </c>
      <c r="J860" s="1" t="s">
        <v>541</v>
      </c>
      <c r="K860" t="str">
        <f t="shared" si="13"/>
        <v>Expired</v>
      </c>
    </row>
    <row r="861" spans="1:11" x14ac:dyDescent="0.3">
      <c r="A861" s="3" t="s">
        <v>521</v>
      </c>
      <c r="B861" t="s">
        <v>90</v>
      </c>
      <c r="C861" t="s">
        <v>101</v>
      </c>
      <c r="D861">
        <v>16</v>
      </c>
      <c r="E861" t="s">
        <v>49</v>
      </c>
      <c r="F861" t="s">
        <v>50</v>
      </c>
      <c r="G861" t="s">
        <v>391</v>
      </c>
      <c r="H861" s="1">
        <v>46692</v>
      </c>
      <c r="I861">
        <v>80</v>
      </c>
      <c r="J861" s="1" t="s">
        <v>541</v>
      </c>
      <c r="K861" t="str">
        <f t="shared" si="13"/>
        <v>Non-Expired</v>
      </c>
    </row>
    <row r="862" spans="1:11" x14ac:dyDescent="0.3">
      <c r="A862" s="3" t="s">
        <v>521</v>
      </c>
      <c r="B862" t="s">
        <v>18</v>
      </c>
      <c r="C862" t="s">
        <v>162</v>
      </c>
      <c r="D862">
        <v>25</v>
      </c>
      <c r="E862" t="s">
        <v>52</v>
      </c>
      <c r="F862" t="s">
        <v>53</v>
      </c>
      <c r="G862" t="s">
        <v>321</v>
      </c>
      <c r="H862" s="1">
        <v>46419</v>
      </c>
      <c r="I862">
        <v>50</v>
      </c>
      <c r="J862" s="1" t="s">
        <v>541</v>
      </c>
      <c r="K862" t="str">
        <f t="shared" si="13"/>
        <v>Non-Expired</v>
      </c>
    </row>
    <row r="863" spans="1:11" x14ac:dyDescent="0.3">
      <c r="A863" s="3" t="s">
        <v>521</v>
      </c>
      <c r="B863" t="s">
        <v>85</v>
      </c>
      <c r="C863" t="s">
        <v>128</v>
      </c>
      <c r="D863">
        <v>9</v>
      </c>
      <c r="E863" t="s">
        <v>56</v>
      </c>
      <c r="F863" t="s">
        <v>53</v>
      </c>
      <c r="G863" t="s">
        <v>446</v>
      </c>
      <c r="H863" s="1">
        <v>46235</v>
      </c>
      <c r="I863">
        <v>90</v>
      </c>
      <c r="J863" s="1" t="s">
        <v>541</v>
      </c>
      <c r="K863" t="str">
        <f t="shared" si="13"/>
        <v>Non-Expired</v>
      </c>
    </row>
    <row r="864" spans="1:11" x14ac:dyDescent="0.3">
      <c r="A864" s="3" t="s">
        <v>521</v>
      </c>
      <c r="B864" t="s">
        <v>31</v>
      </c>
      <c r="C864" t="s">
        <v>131</v>
      </c>
      <c r="D864">
        <v>13</v>
      </c>
      <c r="E864" t="s">
        <v>60</v>
      </c>
      <c r="F864" t="s">
        <v>61</v>
      </c>
      <c r="G864" t="s">
        <v>200</v>
      </c>
      <c r="H864" s="1">
        <v>46082</v>
      </c>
      <c r="I864">
        <v>1560</v>
      </c>
      <c r="J864" s="1" t="s">
        <v>541</v>
      </c>
      <c r="K864" t="str">
        <f t="shared" si="13"/>
        <v>Non-Expired</v>
      </c>
    </row>
    <row r="865" spans="1:11" x14ac:dyDescent="0.3">
      <c r="A865" s="3" t="s">
        <v>521</v>
      </c>
      <c r="B865" t="s">
        <v>9</v>
      </c>
      <c r="C865" t="s">
        <v>78</v>
      </c>
      <c r="D865">
        <v>2</v>
      </c>
      <c r="E865" t="s">
        <v>63</v>
      </c>
      <c r="F865" t="s">
        <v>50</v>
      </c>
      <c r="G865" t="s">
        <v>261</v>
      </c>
      <c r="H865" s="1">
        <v>46722</v>
      </c>
      <c r="I865">
        <v>40</v>
      </c>
      <c r="J865" s="1" t="s">
        <v>541</v>
      </c>
      <c r="K865" t="str">
        <f t="shared" si="13"/>
        <v>Non-Expired</v>
      </c>
    </row>
    <row r="866" spans="1:11" x14ac:dyDescent="0.3">
      <c r="A866" s="3" t="s">
        <v>522</v>
      </c>
      <c r="B866" t="s">
        <v>80</v>
      </c>
      <c r="C866" t="s">
        <v>14</v>
      </c>
      <c r="D866">
        <v>1</v>
      </c>
      <c r="E866" t="s">
        <v>67</v>
      </c>
      <c r="F866" t="s">
        <v>68</v>
      </c>
      <c r="G866" t="s">
        <v>190</v>
      </c>
      <c r="H866" s="1">
        <v>45778</v>
      </c>
      <c r="I866">
        <v>30</v>
      </c>
      <c r="J866" s="1" t="s">
        <v>541</v>
      </c>
      <c r="K866" t="str">
        <f t="shared" si="13"/>
        <v>Expired</v>
      </c>
    </row>
    <row r="867" spans="1:11" x14ac:dyDescent="0.3">
      <c r="A867" s="3" t="s">
        <v>522</v>
      </c>
      <c r="B867" t="s">
        <v>31</v>
      </c>
      <c r="C867" t="s">
        <v>131</v>
      </c>
      <c r="D867">
        <v>17</v>
      </c>
      <c r="E867" t="s">
        <v>71</v>
      </c>
      <c r="F867" t="s">
        <v>72</v>
      </c>
      <c r="G867" t="s">
        <v>426</v>
      </c>
      <c r="H867" s="1">
        <v>46569</v>
      </c>
      <c r="I867">
        <v>680</v>
      </c>
      <c r="J867" s="1" t="s">
        <v>541</v>
      </c>
      <c r="K867" t="str">
        <f t="shared" si="13"/>
        <v>Non-Expired</v>
      </c>
    </row>
    <row r="868" spans="1:11" x14ac:dyDescent="0.3">
      <c r="A868" s="3" t="s">
        <v>522</v>
      </c>
      <c r="B868" t="s">
        <v>9</v>
      </c>
      <c r="C868" t="s">
        <v>44</v>
      </c>
      <c r="D868">
        <v>9</v>
      </c>
      <c r="E868" t="s">
        <v>75</v>
      </c>
      <c r="F868" t="s">
        <v>16</v>
      </c>
      <c r="G868" t="s">
        <v>387</v>
      </c>
      <c r="H868" s="1">
        <v>46508</v>
      </c>
      <c r="I868">
        <v>450</v>
      </c>
      <c r="J868" s="1" t="s">
        <v>541</v>
      </c>
      <c r="K868" t="str">
        <f t="shared" si="13"/>
        <v>Non-Expired</v>
      </c>
    </row>
    <row r="869" spans="1:11" x14ac:dyDescent="0.3">
      <c r="A869" s="3" t="s">
        <v>522</v>
      </c>
      <c r="B869" t="s">
        <v>23</v>
      </c>
      <c r="C869" t="s">
        <v>162</v>
      </c>
      <c r="D869">
        <v>6</v>
      </c>
      <c r="E869" t="s">
        <v>11</v>
      </c>
      <c r="F869" t="s">
        <v>12</v>
      </c>
      <c r="G869" t="s">
        <v>412</v>
      </c>
      <c r="H869" s="1">
        <v>46569</v>
      </c>
      <c r="I869">
        <v>12</v>
      </c>
      <c r="J869" s="1" t="s">
        <v>541</v>
      </c>
      <c r="K869" t="str">
        <f t="shared" si="13"/>
        <v>Non-Expired</v>
      </c>
    </row>
    <row r="870" spans="1:11" x14ac:dyDescent="0.3">
      <c r="A870" s="3" t="s">
        <v>522</v>
      </c>
      <c r="B870" t="s">
        <v>65</v>
      </c>
      <c r="C870" t="s">
        <v>10</v>
      </c>
      <c r="D870">
        <v>9</v>
      </c>
      <c r="E870" t="s">
        <v>15</v>
      </c>
      <c r="F870" t="s">
        <v>16</v>
      </c>
      <c r="G870" t="s">
        <v>447</v>
      </c>
      <c r="H870" s="1">
        <v>46600</v>
      </c>
      <c r="I870">
        <v>27</v>
      </c>
      <c r="J870" s="1" t="s">
        <v>541</v>
      </c>
      <c r="K870" t="str">
        <f t="shared" si="13"/>
        <v>Non-Expired</v>
      </c>
    </row>
    <row r="871" spans="1:11" x14ac:dyDescent="0.3">
      <c r="A871" s="3" t="s">
        <v>522</v>
      </c>
      <c r="B871" t="s">
        <v>97</v>
      </c>
      <c r="C871" t="s">
        <v>55</v>
      </c>
      <c r="D871">
        <v>22</v>
      </c>
      <c r="E871" t="s">
        <v>20</v>
      </c>
      <c r="F871" t="s">
        <v>21</v>
      </c>
      <c r="G871" t="s">
        <v>448</v>
      </c>
      <c r="H871" s="1">
        <v>46174</v>
      </c>
      <c r="I871">
        <v>176</v>
      </c>
      <c r="J871" s="1" t="s">
        <v>541</v>
      </c>
      <c r="K871" t="str">
        <f t="shared" si="13"/>
        <v>Non-Expired</v>
      </c>
    </row>
    <row r="872" spans="1:11" x14ac:dyDescent="0.3">
      <c r="A872" s="3" t="s">
        <v>522</v>
      </c>
      <c r="B872" t="s">
        <v>43</v>
      </c>
      <c r="C872" t="s">
        <v>119</v>
      </c>
      <c r="D872">
        <v>6</v>
      </c>
      <c r="E872" t="s">
        <v>25</v>
      </c>
      <c r="F872" t="s">
        <v>26</v>
      </c>
      <c r="G872" t="s">
        <v>195</v>
      </c>
      <c r="H872" s="1">
        <v>46388</v>
      </c>
      <c r="I872">
        <v>18</v>
      </c>
      <c r="J872" s="1" t="s">
        <v>541</v>
      </c>
      <c r="K872" t="str">
        <f t="shared" si="13"/>
        <v>Non-Expired</v>
      </c>
    </row>
    <row r="873" spans="1:11" x14ac:dyDescent="0.3">
      <c r="A873" s="3" t="s">
        <v>522</v>
      </c>
      <c r="B873" t="s">
        <v>18</v>
      </c>
      <c r="C873" t="s">
        <v>101</v>
      </c>
      <c r="D873">
        <v>13</v>
      </c>
      <c r="E873" t="s">
        <v>28</v>
      </c>
      <c r="F873" t="s">
        <v>29</v>
      </c>
      <c r="G873" t="s">
        <v>165</v>
      </c>
      <c r="H873" s="1">
        <v>45689</v>
      </c>
      <c r="I873">
        <v>52</v>
      </c>
      <c r="J873" s="1" t="s">
        <v>541</v>
      </c>
      <c r="K873" t="str">
        <f t="shared" si="13"/>
        <v>Expired</v>
      </c>
    </row>
    <row r="874" spans="1:11" x14ac:dyDescent="0.3">
      <c r="A874" s="3" t="s">
        <v>523</v>
      </c>
      <c r="B874" t="s">
        <v>9</v>
      </c>
      <c r="C874" t="s">
        <v>74</v>
      </c>
      <c r="D874">
        <v>19</v>
      </c>
      <c r="E874" t="s">
        <v>33</v>
      </c>
      <c r="F874" t="s">
        <v>34</v>
      </c>
      <c r="G874" t="s">
        <v>378</v>
      </c>
      <c r="H874" s="1">
        <v>46388</v>
      </c>
      <c r="I874">
        <v>95</v>
      </c>
      <c r="J874" s="1" t="s">
        <v>541</v>
      </c>
      <c r="K874" t="str">
        <f t="shared" si="13"/>
        <v>Non-Expired</v>
      </c>
    </row>
    <row r="875" spans="1:11" x14ac:dyDescent="0.3">
      <c r="A875" s="3" t="s">
        <v>523</v>
      </c>
      <c r="B875" t="s">
        <v>9</v>
      </c>
      <c r="C875" t="s">
        <v>99</v>
      </c>
      <c r="D875">
        <v>25</v>
      </c>
      <c r="E875" t="s">
        <v>36</v>
      </c>
      <c r="F875" t="s">
        <v>37</v>
      </c>
      <c r="G875" t="s">
        <v>87</v>
      </c>
      <c r="H875" s="1">
        <v>46478</v>
      </c>
      <c r="I875">
        <v>150</v>
      </c>
      <c r="J875" s="1" t="s">
        <v>541</v>
      </c>
      <c r="K875" t="str">
        <f t="shared" si="13"/>
        <v>Non-Expired</v>
      </c>
    </row>
    <row r="876" spans="1:11" x14ac:dyDescent="0.3">
      <c r="A876" s="3" t="s">
        <v>523</v>
      </c>
      <c r="B876" t="s">
        <v>9</v>
      </c>
      <c r="C876" t="s">
        <v>210</v>
      </c>
      <c r="D876">
        <v>21</v>
      </c>
      <c r="E876" t="s">
        <v>41</v>
      </c>
      <c r="F876" t="s">
        <v>12</v>
      </c>
      <c r="G876" t="s">
        <v>379</v>
      </c>
      <c r="H876" s="1">
        <v>46204</v>
      </c>
      <c r="I876">
        <v>84</v>
      </c>
      <c r="J876" s="1" t="s">
        <v>541</v>
      </c>
      <c r="K876" t="str">
        <f t="shared" si="13"/>
        <v>Non-Expired</v>
      </c>
    </row>
    <row r="877" spans="1:11" x14ac:dyDescent="0.3">
      <c r="A877" s="3" t="s">
        <v>523</v>
      </c>
      <c r="B877" t="s">
        <v>58</v>
      </c>
      <c r="C877" t="s">
        <v>162</v>
      </c>
      <c r="D877">
        <v>11</v>
      </c>
      <c r="E877" t="s">
        <v>45</v>
      </c>
      <c r="F877" t="s">
        <v>16</v>
      </c>
      <c r="G877" t="s">
        <v>91</v>
      </c>
      <c r="H877" s="1">
        <v>46174</v>
      </c>
      <c r="I877">
        <v>110</v>
      </c>
      <c r="J877" s="1" t="s">
        <v>541</v>
      </c>
      <c r="K877" t="str">
        <f t="shared" si="13"/>
        <v>Non-Expired</v>
      </c>
    </row>
    <row r="878" spans="1:11" x14ac:dyDescent="0.3">
      <c r="A878" s="3" t="s">
        <v>523</v>
      </c>
      <c r="B878" t="s">
        <v>90</v>
      </c>
      <c r="C878" t="s">
        <v>78</v>
      </c>
      <c r="D878">
        <v>22</v>
      </c>
      <c r="E878" t="s">
        <v>49</v>
      </c>
      <c r="F878" t="s">
        <v>50</v>
      </c>
      <c r="G878" t="s">
        <v>449</v>
      </c>
      <c r="H878" s="1">
        <v>46054</v>
      </c>
      <c r="I878">
        <v>110</v>
      </c>
      <c r="J878" s="1" t="s">
        <v>541</v>
      </c>
      <c r="K878" t="str">
        <f t="shared" si="13"/>
        <v>Non-Expired</v>
      </c>
    </row>
    <row r="879" spans="1:11" x14ac:dyDescent="0.3">
      <c r="A879" s="3" t="s">
        <v>523</v>
      </c>
      <c r="B879" t="s">
        <v>9</v>
      </c>
      <c r="C879" t="s">
        <v>44</v>
      </c>
      <c r="D879">
        <v>9</v>
      </c>
      <c r="E879" t="s">
        <v>52</v>
      </c>
      <c r="F879" t="s">
        <v>53</v>
      </c>
      <c r="G879" t="s">
        <v>273</v>
      </c>
      <c r="H879" s="1">
        <v>45901</v>
      </c>
      <c r="I879">
        <v>18</v>
      </c>
      <c r="J879" s="1" t="s">
        <v>541</v>
      </c>
      <c r="K879" t="str">
        <f t="shared" si="13"/>
        <v>Non-Expired</v>
      </c>
    </row>
    <row r="880" spans="1:11" x14ac:dyDescent="0.3">
      <c r="A880" s="3" t="s">
        <v>523</v>
      </c>
      <c r="B880" t="s">
        <v>65</v>
      </c>
      <c r="C880" t="s">
        <v>214</v>
      </c>
      <c r="D880">
        <v>2</v>
      </c>
      <c r="E880" t="s">
        <v>56</v>
      </c>
      <c r="F880" t="s">
        <v>53</v>
      </c>
      <c r="G880" t="s">
        <v>138</v>
      </c>
      <c r="H880" s="1">
        <v>46113</v>
      </c>
      <c r="I880">
        <v>20</v>
      </c>
      <c r="J880" s="1" t="s">
        <v>541</v>
      </c>
      <c r="K880" t="str">
        <f t="shared" si="13"/>
        <v>Non-Expired</v>
      </c>
    </row>
    <row r="881" spans="1:11" x14ac:dyDescent="0.3">
      <c r="A881" s="3" t="s">
        <v>523</v>
      </c>
      <c r="B881" t="s">
        <v>9</v>
      </c>
      <c r="C881" t="s">
        <v>59</v>
      </c>
      <c r="D881">
        <v>4</v>
      </c>
      <c r="E881" t="s">
        <v>60</v>
      </c>
      <c r="F881" t="s">
        <v>61</v>
      </c>
      <c r="G881" t="s">
        <v>346</v>
      </c>
      <c r="H881" s="1">
        <v>46143</v>
      </c>
      <c r="I881">
        <v>480</v>
      </c>
      <c r="J881" s="1" t="s">
        <v>541</v>
      </c>
      <c r="K881" t="str">
        <f t="shared" si="13"/>
        <v>Non-Expired</v>
      </c>
    </row>
    <row r="882" spans="1:11" x14ac:dyDescent="0.3">
      <c r="A882" s="3" t="s">
        <v>524</v>
      </c>
      <c r="B882" t="s">
        <v>97</v>
      </c>
      <c r="C882" t="s">
        <v>180</v>
      </c>
      <c r="D882">
        <v>25</v>
      </c>
      <c r="E882" t="s">
        <v>63</v>
      </c>
      <c r="F882" t="s">
        <v>50</v>
      </c>
      <c r="G882" t="s">
        <v>284</v>
      </c>
      <c r="H882" s="1">
        <v>46813</v>
      </c>
      <c r="I882">
        <v>500</v>
      </c>
      <c r="J882" s="1" t="s">
        <v>541</v>
      </c>
      <c r="K882" t="str">
        <f t="shared" si="13"/>
        <v>Non-Expired</v>
      </c>
    </row>
    <row r="883" spans="1:11" x14ac:dyDescent="0.3">
      <c r="A883" s="3" t="s">
        <v>524</v>
      </c>
      <c r="B883" t="s">
        <v>80</v>
      </c>
      <c r="C883" t="s">
        <v>24</v>
      </c>
      <c r="D883">
        <v>3</v>
      </c>
      <c r="E883" t="s">
        <v>67</v>
      </c>
      <c r="F883" t="s">
        <v>68</v>
      </c>
      <c r="G883" t="s">
        <v>142</v>
      </c>
      <c r="H883" s="1">
        <v>46235</v>
      </c>
      <c r="I883">
        <v>90</v>
      </c>
      <c r="J883" s="1" t="s">
        <v>541</v>
      </c>
      <c r="K883" t="str">
        <f t="shared" si="13"/>
        <v>Non-Expired</v>
      </c>
    </row>
    <row r="884" spans="1:11" x14ac:dyDescent="0.3">
      <c r="A884" s="3" t="s">
        <v>524</v>
      </c>
      <c r="B884" t="s">
        <v>90</v>
      </c>
      <c r="C884" t="s">
        <v>101</v>
      </c>
      <c r="D884">
        <v>24</v>
      </c>
      <c r="E884" t="s">
        <v>71</v>
      </c>
      <c r="F884" t="s">
        <v>72</v>
      </c>
      <c r="G884" t="s">
        <v>426</v>
      </c>
      <c r="H884" s="1">
        <v>46327</v>
      </c>
      <c r="I884">
        <v>960</v>
      </c>
      <c r="J884" s="1" t="s">
        <v>541</v>
      </c>
      <c r="K884" t="str">
        <f t="shared" si="13"/>
        <v>Non-Expired</v>
      </c>
    </row>
    <row r="885" spans="1:11" x14ac:dyDescent="0.3">
      <c r="A885" s="3" t="s">
        <v>524</v>
      </c>
      <c r="B885" t="s">
        <v>23</v>
      </c>
      <c r="C885" t="s">
        <v>210</v>
      </c>
      <c r="D885">
        <v>15</v>
      </c>
      <c r="E885" t="s">
        <v>75</v>
      </c>
      <c r="F885" t="s">
        <v>16</v>
      </c>
      <c r="G885" t="s">
        <v>310</v>
      </c>
      <c r="H885" s="1">
        <v>46631</v>
      </c>
      <c r="I885">
        <v>750</v>
      </c>
      <c r="J885" s="1" t="s">
        <v>541</v>
      </c>
      <c r="K885" t="str">
        <f t="shared" si="13"/>
        <v>Non-Expired</v>
      </c>
    </row>
    <row r="886" spans="1:11" x14ac:dyDescent="0.3">
      <c r="A886" s="3" t="s">
        <v>524</v>
      </c>
      <c r="B886" t="s">
        <v>65</v>
      </c>
      <c r="C886" t="s">
        <v>107</v>
      </c>
      <c r="D886">
        <v>14</v>
      </c>
      <c r="E886" t="s">
        <v>11</v>
      </c>
      <c r="F886" t="s">
        <v>12</v>
      </c>
      <c r="G886" t="s">
        <v>13</v>
      </c>
      <c r="H886" s="1">
        <v>46327</v>
      </c>
      <c r="I886">
        <v>28</v>
      </c>
      <c r="J886" s="1" t="s">
        <v>541</v>
      </c>
      <c r="K886" t="str">
        <f t="shared" si="13"/>
        <v>Non-Expired</v>
      </c>
    </row>
    <row r="887" spans="1:11" x14ac:dyDescent="0.3">
      <c r="A887" s="3" t="s">
        <v>524</v>
      </c>
      <c r="B887" t="s">
        <v>58</v>
      </c>
      <c r="C887" t="s">
        <v>112</v>
      </c>
      <c r="D887">
        <v>19</v>
      </c>
      <c r="E887" t="s">
        <v>15</v>
      </c>
      <c r="F887" t="s">
        <v>16</v>
      </c>
      <c r="G887" t="s">
        <v>126</v>
      </c>
      <c r="H887" s="1">
        <v>45413</v>
      </c>
      <c r="I887">
        <v>57</v>
      </c>
      <c r="J887" s="1" t="s">
        <v>541</v>
      </c>
      <c r="K887" t="str">
        <f t="shared" si="13"/>
        <v>Expired</v>
      </c>
    </row>
    <row r="888" spans="1:11" x14ac:dyDescent="0.3">
      <c r="A888" s="3" t="s">
        <v>524</v>
      </c>
      <c r="B888" t="s">
        <v>92</v>
      </c>
      <c r="C888" t="s">
        <v>10</v>
      </c>
      <c r="D888">
        <v>23</v>
      </c>
      <c r="E888" t="s">
        <v>20</v>
      </c>
      <c r="F888" t="s">
        <v>21</v>
      </c>
      <c r="G888" t="s">
        <v>108</v>
      </c>
      <c r="H888" s="1">
        <v>46266</v>
      </c>
      <c r="I888">
        <v>184</v>
      </c>
      <c r="J888" s="1" t="s">
        <v>541</v>
      </c>
      <c r="K888" t="str">
        <f t="shared" si="13"/>
        <v>Non-Expired</v>
      </c>
    </row>
    <row r="889" spans="1:11" x14ac:dyDescent="0.3">
      <c r="A889" s="3" t="s">
        <v>524</v>
      </c>
      <c r="B889" t="s">
        <v>65</v>
      </c>
      <c r="C889" t="s">
        <v>99</v>
      </c>
      <c r="D889">
        <v>23</v>
      </c>
      <c r="E889" t="s">
        <v>25</v>
      </c>
      <c r="F889" t="s">
        <v>26</v>
      </c>
      <c r="G889" t="s">
        <v>389</v>
      </c>
      <c r="H889" s="1">
        <v>46784</v>
      </c>
      <c r="I889">
        <v>69</v>
      </c>
      <c r="J889" s="1" t="s">
        <v>541</v>
      </c>
      <c r="K889" t="str">
        <f t="shared" si="13"/>
        <v>Non-Expired</v>
      </c>
    </row>
    <row r="890" spans="1:11" x14ac:dyDescent="0.3">
      <c r="A890" s="3" t="s">
        <v>525</v>
      </c>
      <c r="B890" t="s">
        <v>65</v>
      </c>
      <c r="C890" t="s">
        <v>99</v>
      </c>
      <c r="D890">
        <v>30</v>
      </c>
      <c r="E890" t="s">
        <v>28</v>
      </c>
      <c r="F890" t="s">
        <v>29</v>
      </c>
      <c r="G890" t="s">
        <v>324</v>
      </c>
      <c r="H890" s="1">
        <v>46631</v>
      </c>
      <c r="I890">
        <v>120</v>
      </c>
      <c r="J890" s="1" t="s">
        <v>541</v>
      </c>
      <c r="K890" t="str">
        <f t="shared" si="13"/>
        <v>Non-Expired</v>
      </c>
    </row>
    <row r="891" spans="1:11" x14ac:dyDescent="0.3">
      <c r="A891" s="3" t="s">
        <v>525</v>
      </c>
      <c r="B891" t="s">
        <v>80</v>
      </c>
      <c r="C891" t="s">
        <v>107</v>
      </c>
      <c r="D891">
        <v>17</v>
      </c>
      <c r="E891" t="s">
        <v>33</v>
      </c>
      <c r="F891" t="s">
        <v>34</v>
      </c>
      <c r="G891" t="s">
        <v>361</v>
      </c>
      <c r="H891" s="1">
        <v>46447</v>
      </c>
      <c r="I891">
        <v>85</v>
      </c>
      <c r="J891" s="1" t="s">
        <v>541</v>
      </c>
      <c r="K891" t="str">
        <f t="shared" si="13"/>
        <v>Non-Expired</v>
      </c>
    </row>
    <row r="892" spans="1:11" x14ac:dyDescent="0.3">
      <c r="A892" s="3" t="s">
        <v>525</v>
      </c>
      <c r="B892" t="s">
        <v>18</v>
      </c>
      <c r="C892" t="s">
        <v>154</v>
      </c>
      <c r="D892">
        <v>22</v>
      </c>
      <c r="E892" t="s">
        <v>36</v>
      </c>
      <c r="F892" t="s">
        <v>37</v>
      </c>
      <c r="G892" t="s">
        <v>408</v>
      </c>
      <c r="H892" s="1">
        <v>46204</v>
      </c>
      <c r="I892">
        <v>132</v>
      </c>
      <c r="J892" s="1" t="s">
        <v>541</v>
      </c>
      <c r="K892" t="str">
        <f t="shared" si="13"/>
        <v>Non-Expired</v>
      </c>
    </row>
    <row r="893" spans="1:11" x14ac:dyDescent="0.3">
      <c r="A893" s="3" t="s">
        <v>525</v>
      </c>
      <c r="B893" t="s">
        <v>65</v>
      </c>
      <c r="C893" t="s">
        <v>154</v>
      </c>
      <c r="D893">
        <v>19</v>
      </c>
      <c r="E893" t="s">
        <v>41</v>
      </c>
      <c r="F893" t="s">
        <v>12</v>
      </c>
      <c r="G893" t="s">
        <v>450</v>
      </c>
      <c r="H893" s="1">
        <v>45444</v>
      </c>
      <c r="I893">
        <v>76</v>
      </c>
      <c r="J893" s="1" t="s">
        <v>541</v>
      </c>
      <c r="K893" t="str">
        <f t="shared" si="13"/>
        <v>Expired</v>
      </c>
    </row>
    <row r="894" spans="1:11" x14ac:dyDescent="0.3">
      <c r="A894" s="3" t="s">
        <v>525</v>
      </c>
      <c r="B894" t="s">
        <v>23</v>
      </c>
      <c r="C894" t="s">
        <v>131</v>
      </c>
      <c r="D894">
        <v>22</v>
      </c>
      <c r="E894" t="s">
        <v>45</v>
      </c>
      <c r="F894" t="s">
        <v>16</v>
      </c>
      <c r="G894" t="s">
        <v>445</v>
      </c>
      <c r="H894" s="1">
        <v>46753</v>
      </c>
      <c r="I894">
        <v>220</v>
      </c>
      <c r="J894" s="1" t="s">
        <v>541</v>
      </c>
      <c r="K894" t="str">
        <f t="shared" si="13"/>
        <v>Non-Expired</v>
      </c>
    </row>
    <row r="895" spans="1:11" x14ac:dyDescent="0.3">
      <c r="A895" s="3" t="s">
        <v>525</v>
      </c>
      <c r="B895" t="s">
        <v>9</v>
      </c>
      <c r="C895" t="s">
        <v>180</v>
      </c>
      <c r="D895">
        <v>5</v>
      </c>
      <c r="E895" t="s">
        <v>49</v>
      </c>
      <c r="F895" t="s">
        <v>50</v>
      </c>
      <c r="G895" t="s">
        <v>93</v>
      </c>
      <c r="H895" s="1">
        <v>46539</v>
      </c>
      <c r="I895">
        <v>25</v>
      </c>
      <c r="J895" s="1" t="s">
        <v>541</v>
      </c>
      <c r="K895" t="str">
        <f t="shared" si="13"/>
        <v>Non-Expired</v>
      </c>
    </row>
    <row r="896" spans="1:11" x14ac:dyDescent="0.3">
      <c r="A896" s="3" t="s">
        <v>525</v>
      </c>
      <c r="B896" t="s">
        <v>9</v>
      </c>
      <c r="C896" t="s">
        <v>83</v>
      </c>
      <c r="D896">
        <v>14</v>
      </c>
      <c r="E896" t="s">
        <v>52</v>
      </c>
      <c r="F896" t="s">
        <v>53</v>
      </c>
      <c r="G896" t="s">
        <v>321</v>
      </c>
      <c r="H896" s="1">
        <v>46478</v>
      </c>
      <c r="I896">
        <v>28</v>
      </c>
      <c r="J896" s="1" t="s">
        <v>541</v>
      </c>
      <c r="K896" t="str">
        <f t="shared" si="13"/>
        <v>Non-Expired</v>
      </c>
    </row>
    <row r="897" spans="1:11" x14ac:dyDescent="0.3">
      <c r="A897" s="3" t="s">
        <v>525</v>
      </c>
      <c r="B897" t="s">
        <v>58</v>
      </c>
      <c r="C897" t="s">
        <v>119</v>
      </c>
      <c r="D897">
        <v>5</v>
      </c>
      <c r="E897" t="s">
        <v>56</v>
      </c>
      <c r="F897" t="s">
        <v>53</v>
      </c>
      <c r="G897" t="s">
        <v>117</v>
      </c>
      <c r="H897" s="1">
        <v>46023</v>
      </c>
      <c r="I897">
        <v>50</v>
      </c>
      <c r="J897" s="1" t="s">
        <v>541</v>
      </c>
      <c r="K897" t="str">
        <f t="shared" si="13"/>
        <v>Non-Expired</v>
      </c>
    </row>
    <row r="898" spans="1:11" x14ac:dyDescent="0.3">
      <c r="A898" s="3" t="s">
        <v>526</v>
      </c>
      <c r="B898" t="s">
        <v>18</v>
      </c>
      <c r="C898" t="s">
        <v>119</v>
      </c>
      <c r="D898">
        <v>18</v>
      </c>
      <c r="E898" t="s">
        <v>60</v>
      </c>
      <c r="F898" t="s">
        <v>61</v>
      </c>
      <c r="G898" t="s">
        <v>62</v>
      </c>
      <c r="H898" s="1">
        <v>46600</v>
      </c>
      <c r="I898">
        <v>2160</v>
      </c>
      <c r="J898" s="1" t="s">
        <v>541</v>
      </c>
      <c r="K898" t="str">
        <f t="shared" si="13"/>
        <v>Non-Expired</v>
      </c>
    </row>
    <row r="899" spans="1:11" x14ac:dyDescent="0.3">
      <c r="A899" s="3" t="s">
        <v>526</v>
      </c>
      <c r="B899" t="s">
        <v>85</v>
      </c>
      <c r="C899" t="s">
        <v>173</v>
      </c>
      <c r="D899">
        <v>22</v>
      </c>
      <c r="E899" t="s">
        <v>63</v>
      </c>
      <c r="F899" t="s">
        <v>50</v>
      </c>
      <c r="G899" t="s">
        <v>376</v>
      </c>
      <c r="H899" s="1">
        <v>45658</v>
      </c>
      <c r="I899">
        <v>440</v>
      </c>
      <c r="J899" s="1" t="s">
        <v>541</v>
      </c>
      <c r="K899" t="str">
        <f t="shared" ref="K899:K962" si="14">IF(H899&lt;=DATE(2025,5,5),"Expired","Non-Expired")</f>
        <v>Expired</v>
      </c>
    </row>
    <row r="900" spans="1:11" x14ac:dyDescent="0.3">
      <c r="A900" s="3" t="s">
        <v>526</v>
      </c>
      <c r="B900" t="s">
        <v>9</v>
      </c>
      <c r="C900" t="s">
        <v>14</v>
      </c>
      <c r="D900">
        <v>10</v>
      </c>
      <c r="E900" t="s">
        <v>67</v>
      </c>
      <c r="F900" t="s">
        <v>68</v>
      </c>
      <c r="G900" t="s">
        <v>451</v>
      </c>
      <c r="H900" s="1">
        <v>46722</v>
      </c>
      <c r="I900">
        <v>300</v>
      </c>
      <c r="J900" s="1" t="s">
        <v>541</v>
      </c>
      <c r="K900" t="str">
        <f t="shared" si="14"/>
        <v>Non-Expired</v>
      </c>
    </row>
    <row r="901" spans="1:11" x14ac:dyDescent="0.3">
      <c r="A901" s="3" t="s">
        <v>526</v>
      </c>
      <c r="B901" t="s">
        <v>92</v>
      </c>
      <c r="C901" t="s">
        <v>180</v>
      </c>
      <c r="D901">
        <v>12</v>
      </c>
      <c r="E901" t="s">
        <v>71</v>
      </c>
      <c r="F901" t="s">
        <v>72</v>
      </c>
      <c r="G901" t="s">
        <v>102</v>
      </c>
      <c r="H901" s="1">
        <v>46266</v>
      </c>
      <c r="I901">
        <v>480</v>
      </c>
      <c r="J901" s="1" t="s">
        <v>541</v>
      </c>
      <c r="K901" t="str">
        <f t="shared" si="14"/>
        <v>Non-Expired</v>
      </c>
    </row>
    <row r="902" spans="1:11" x14ac:dyDescent="0.3">
      <c r="A902" s="3" t="s">
        <v>526</v>
      </c>
      <c r="B902" t="s">
        <v>43</v>
      </c>
      <c r="C902" t="s">
        <v>55</v>
      </c>
      <c r="D902">
        <v>20</v>
      </c>
      <c r="E902" t="s">
        <v>75</v>
      </c>
      <c r="F902" t="s">
        <v>16</v>
      </c>
      <c r="G902" t="s">
        <v>123</v>
      </c>
      <c r="H902" s="1">
        <v>46327</v>
      </c>
      <c r="I902">
        <v>1000</v>
      </c>
      <c r="J902" s="1" t="s">
        <v>541</v>
      </c>
      <c r="K902" t="str">
        <f t="shared" si="14"/>
        <v>Non-Expired</v>
      </c>
    </row>
    <row r="903" spans="1:11" x14ac:dyDescent="0.3">
      <c r="A903" s="3" t="s">
        <v>526</v>
      </c>
      <c r="B903" t="s">
        <v>39</v>
      </c>
      <c r="C903" t="s">
        <v>78</v>
      </c>
      <c r="D903">
        <v>16</v>
      </c>
      <c r="E903" t="s">
        <v>11</v>
      </c>
      <c r="F903" t="s">
        <v>12</v>
      </c>
      <c r="G903" t="s">
        <v>452</v>
      </c>
      <c r="H903" s="1">
        <v>46447</v>
      </c>
      <c r="I903">
        <v>32</v>
      </c>
      <c r="J903" s="1" t="s">
        <v>541</v>
      </c>
      <c r="K903" t="str">
        <f t="shared" si="14"/>
        <v>Non-Expired</v>
      </c>
    </row>
    <row r="904" spans="1:11" x14ac:dyDescent="0.3">
      <c r="A904" s="3" t="s">
        <v>526</v>
      </c>
      <c r="B904" t="s">
        <v>92</v>
      </c>
      <c r="C904" t="s">
        <v>214</v>
      </c>
      <c r="D904">
        <v>25</v>
      </c>
      <c r="E904" t="s">
        <v>15</v>
      </c>
      <c r="F904" t="s">
        <v>16</v>
      </c>
      <c r="G904" t="s">
        <v>407</v>
      </c>
      <c r="H904" s="1">
        <v>46419</v>
      </c>
      <c r="I904">
        <v>75</v>
      </c>
      <c r="J904" s="1" t="s">
        <v>541</v>
      </c>
      <c r="K904" t="str">
        <f t="shared" si="14"/>
        <v>Non-Expired</v>
      </c>
    </row>
    <row r="905" spans="1:11" x14ac:dyDescent="0.3">
      <c r="A905" s="3" t="s">
        <v>526</v>
      </c>
      <c r="B905" t="s">
        <v>90</v>
      </c>
      <c r="C905" t="s">
        <v>59</v>
      </c>
      <c r="D905">
        <v>3</v>
      </c>
      <c r="E905" t="s">
        <v>20</v>
      </c>
      <c r="F905" t="s">
        <v>21</v>
      </c>
      <c r="G905" t="s">
        <v>439</v>
      </c>
      <c r="H905" s="1">
        <v>45474</v>
      </c>
      <c r="I905">
        <v>24</v>
      </c>
      <c r="J905" s="1" t="s">
        <v>541</v>
      </c>
      <c r="K905" t="str">
        <f t="shared" si="14"/>
        <v>Expired</v>
      </c>
    </row>
    <row r="906" spans="1:11" x14ac:dyDescent="0.3">
      <c r="A906" s="3" t="s">
        <v>527</v>
      </c>
      <c r="B906" t="s">
        <v>92</v>
      </c>
      <c r="C906" t="s">
        <v>44</v>
      </c>
      <c r="D906">
        <v>8</v>
      </c>
      <c r="E906" t="s">
        <v>25</v>
      </c>
      <c r="F906" t="s">
        <v>26</v>
      </c>
      <c r="G906" t="s">
        <v>147</v>
      </c>
      <c r="H906" s="1">
        <v>46357</v>
      </c>
      <c r="I906">
        <v>24</v>
      </c>
      <c r="J906" s="1" t="s">
        <v>541</v>
      </c>
      <c r="K906" t="str">
        <f t="shared" si="14"/>
        <v>Non-Expired</v>
      </c>
    </row>
    <row r="907" spans="1:11" x14ac:dyDescent="0.3">
      <c r="A907" s="3" t="s">
        <v>527</v>
      </c>
      <c r="B907" t="s">
        <v>9</v>
      </c>
      <c r="C907" t="s">
        <v>48</v>
      </c>
      <c r="D907">
        <v>26</v>
      </c>
      <c r="E907" t="s">
        <v>28</v>
      </c>
      <c r="F907" t="s">
        <v>29</v>
      </c>
      <c r="G907" t="s">
        <v>332</v>
      </c>
      <c r="H907" s="1">
        <v>46631</v>
      </c>
      <c r="I907">
        <v>104</v>
      </c>
      <c r="J907" s="1" t="s">
        <v>541</v>
      </c>
      <c r="K907" t="str">
        <f t="shared" si="14"/>
        <v>Non-Expired</v>
      </c>
    </row>
    <row r="908" spans="1:11" x14ac:dyDescent="0.3">
      <c r="A908" s="3" t="s">
        <v>527</v>
      </c>
      <c r="B908" t="s">
        <v>65</v>
      </c>
      <c r="C908" t="s">
        <v>44</v>
      </c>
      <c r="D908">
        <v>28</v>
      </c>
      <c r="E908" t="s">
        <v>33</v>
      </c>
      <c r="F908" t="s">
        <v>34</v>
      </c>
      <c r="G908" t="s">
        <v>378</v>
      </c>
      <c r="H908" s="1">
        <v>46235</v>
      </c>
      <c r="I908">
        <v>140</v>
      </c>
      <c r="J908" s="1" t="s">
        <v>541</v>
      </c>
      <c r="K908" t="str">
        <f t="shared" si="14"/>
        <v>Non-Expired</v>
      </c>
    </row>
    <row r="909" spans="1:11" x14ac:dyDescent="0.3">
      <c r="A909" s="3" t="s">
        <v>527</v>
      </c>
      <c r="B909" t="s">
        <v>39</v>
      </c>
      <c r="C909" t="s">
        <v>70</v>
      </c>
      <c r="D909">
        <v>26</v>
      </c>
      <c r="E909" t="s">
        <v>36</v>
      </c>
      <c r="F909" t="s">
        <v>37</v>
      </c>
      <c r="G909" t="s">
        <v>289</v>
      </c>
      <c r="H909" s="1">
        <v>46631</v>
      </c>
      <c r="I909">
        <v>156</v>
      </c>
      <c r="J909" s="1" t="s">
        <v>541</v>
      </c>
      <c r="K909" t="str">
        <f t="shared" si="14"/>
        <v>Non-Expired</v>
      </c>
    </row>
    <row r="910" spans="1:11" x14ac:dyDescent="0.3">
      <c r="A910" s="3" t="s">
        <v>527</v>
      </c>
      <c r="B910" t="s">
        <v>43</v>
      </c>
      <c r="C910" t="s">
        <v>10</v>
      </c>
      <c r="D910">
        <v>27</v>
      </c>
      <c r="E910" t="s">
        <v>41</v>
      </c>
      <c r="F910" t="s">
        <v>12</v>
      </c>
      <c r="G910" t="s">
        <v>334</v>
      </c>
      <c r="H910" s="1">
        <v>45627</v>
      </c>
      <c r="I910">
        <v>108</v>
      </c>
      <c r="J910" s="1" t="s">
        <v>541</v>
      </c>
      <c r="K910" t="str">
        <f t="shared" si="14"/>
        <v>Expired</v>
      </c>
    </row>
    <row r="911" spans="1:11" x14ac:dyDescent="0.3">
      <c r="A911" s="3" t="s">
        <v>527</v>
      </c>
      <c r="B911" t="s">
        <v>23</v>
      </c>
      <c r="C911" t="s">
        <v>149</v>
      </c>
      <c r="D911">
        <v>13</v>
      </c>
      <c r="E911" t="s">
        <v>45</v>
      </c>
      <c r="F911" t="s">
        <v>16</v>
      </c>
      <c r="G911" t="s">
        <v>168</v>
      </c>
      <c r="H911" s="1">
        <v>46357</v>
      </c>
      <c r="I911">
        <v>130</v>
      </c>
      <c r="J911" s="1" t="s">
        <v>541</v>
      </c>
      <c r="K911" t="str">
        <f t="shared" si="14"/>
        <v>Non-Expired</v>
      </c>
    </row>
    <row r="912" spans="1:11" x14ac:dyDescent="0.3">
      <c r="A912" s="3" t="s">
        <v>527</v>
      </c>
      <c r="B912" t="s">
        <v>9</v>
      </c>
      <c r="C912" t="s">
        <v>48</v>
      </c>
      <c r="D912">
        <v>5</v>
      </c>
      <c r="E912" t="s">
        <v>49</v>
      </c>
      <c r="F912" t="s">
        <v>50</v>
      </c>
      <c r="G912" t="s">
        <v>453</v>
      </c>
      <c r="H912" s="1">
        <v>46753</v>
      </c>
      <c r="I912">
        <v>25</v>
      </c>
      <c r="J912" s="1" t="s">
        <v>541</v>
      </c>
      <c r="K912" t="str">
        <f t="shared" si="14"/>
        <v>Non-Expired</v>
      </c>
    </row>
    <row r="913" spans="1:11" x14ac:dyDescent="0.3">
      <c r="A913" s="3" t="s">
        <v>527</v>
      </c>
      <c r="B913" t="s">
        <v>80</v>
      </c>
      <c r="C913" t="s">
        <v>78</v>
      </c>
      <c r="D913">
        <v>25</v>
      </c>
      <c r="E913" t="s">
        <v>52</v>
      </c>
      <c r="F913" t="s">
        <v>53</v>
      </c>
      <c r="G913" t="s">
        <v>54</v>
      </c>
      <c r="H913" s="1">
        <v>46266</v>
      </c>
      <c r="I913">
        <v>50</v>
      </c>
      <c r="J913" s="1" t="s">
        <v>541</v>
      </c>
      <c r="K913" t="str">
        <f t="shared" si="14"/>
        <v>Non-Expired</v>
      </c>
    </row>
    <row r="914" spans="1:11" x14ac:dyDescent="0.3">
      <c r="A914" s="3" t="s">
        <v>528</v>
      </c>
      <c r="B914" t="s">
        <v>85</v>
      </c>
      <c r="C914" t="s">
        <v>139</v>
      </c>
      <c r="D914">
        <v>18</v>
      </c>
      <c r="E914" t="s">
        <v>56</v>
      </c>
      <c r="F914" t="s">
        <v>53</v>
      </c>
      <c r="G914" t="s">
        <v>454</v>
      </c>
      <c r="H914" s="1">
        <v>46569</v>
      </c>
      <c r="I914">
        <v>180</v>
      </c>
      <c r="J914" s="1" t="s">
        <v>541</v>
      </c>
      <c r="K914" t="str">
        <f t="shared" si="14"/>
        <v>Non-Expired</v>
      </c>
    </row>
    <row r="915" spans="1:11" x14ac:dyDescent="0.3">
      <c r="A915" s="3" t="s">
        <v>528</v>
      </c>
      <c r="B915" t="s">
        <v>18</v>
      </c>
      <c r="C915" t="s">
        <v>40</v>
      </c>
      <c r="D915">
        <v>7</v>
      </c>
      <c r="E915" t="s">
        <v>60</v>
      </c>
      <c r="F915" t="s">
        <v>61</v>
      </c>
      <c r="G915" t="s">
        <v>365</v>
      </c>
      <c r="H915" s="1">
        <v>46082</v>
      </c>
      <c r="I915">
        <v>840</v>
      </c>
      <c r="J915" s="1" t="s">
        <v>541</v>
      </c>
      <c r="K915" t="str">
        <f t="shared" si="14"/>
        <v>Non-Expired</v>
      </c>
    </row>
    <row r="916" spans="1:11" x14ac:dyDescent="0.3">
      <c r="A916" s="3" t="s">
        <v>528</v>
      </c>
      <c r="B916" t="s">
        <v>65</v>
      </c>
      <c r="C916" t="s">
        <v>83</v>
      </c>
      <c r="D916">
        <v>11</v>
      </c>
      <c r="E916" t="s">
        <v>63</v>
      </c>
      <c r="F916" t="s">
        <v>50</v>
      </c>
      <c r="G916" t="s">
        <v>455</v>
      </c>
      <c r="H916" s="1">
        <v>45505</v>
      </c>
      <c r="I916">
        <v>220</v>
      </c>
      <c r="J916" s="1" t="s">
        <v>541</v>
      </c>
      <c r="K916" t="str">
        <f t="shared" si="14"/>
        <v>Expired</v>
      </c>
    </row>
    <row r="917" spans="1:11" x14ac:dyDescent="0.3">
      <c r="A917" s="3" t="s">
        <v>528</v>
      </c>
      <c r="B917" t="s">
        <v>23</v>
      </c>
      <c r="C917" t="s">
        <v>59</v>
      </c>
      <c r="D917">
        <v>18</v>
      </c>
      <c r="E917" t="s">
        <v>67</v>
      </c>
      <c r="F917" t="s">
        <v>68</v>
      </c>
      <c r="G917" t="s">
        <v>421</v>
      </c>
      <c r="H917" s="1">
        <v>46082</v>
      </c>
      <c r="I917">
        <v>540</v>
      </c>
      <c r="J917" s="1" t="s">
        <v>541</v>
      </c>
      <c r="K917" t="str">
        <f t="shared" si="14"/>
        <v>Non-Expired</v>
      </c>
    </row>
    <row r="918" spans="1:11" x14ac:dyDescent="0.3">
      <c r="A918" s="3" t="s">
        <v>528</v>
      </c>
      <c r="B918" t="s">
        <v>9</v>
      </c>
      <c r="C918" t="s">
        <v>83</v>
      </c>
      <c r="D918">
        <v>1</v>
      </c>
      <c r="E918" t="s">
        <v>71</v>
      </c>
      <c r="F918" t="s">
        <v>72</v>
      </c>
      <c r="G918" t="s">
        <v>204</v>
      </c>
      <c r="H918" s="1">
        <v>46054</v>
      </c>
      <c r="I918">
        <v>40</v>
      </c>
      <c r="J918" s="1" t="s">
        <v>541</v>
      </c>
      <c r="K918" t="str">
        <f t="shared" si="14"/>
        <v>Non-Expired</v>
      </c>
    </row>
    <row r="919" spans="1:11" x14ac:dyDescent="0.3">
      <c r="A919" s="3" t="s">
        <v>528</v>
      </c>
      <c r="B919" t="s">
        <v>92</v>
      </c>
      <c r="C919" t="s">
        <v>24</v>
      </c>
      <c r="D919">
        <v>19</v>
      </c>
      <c r="E919" t="s">
        <v>75</v>
      </c>
      <c r="F919" t="s">
        <v>16</v>
      </c>
      <c r="G919" t="s">
        <v>352</v>
      </c>
      <c r="H919" s="1">
        <v>45505</v>
      </c>
      <c r="I919">
        <v>950</v>
      </c>
      <c r="J919" s="1" t="s">
        <v>541</v>
      </c>
      <c r="K919" t="str">
        <f t="shared" si="14"/>
        <v>Expired</v>
      </c>
    </row>
    <row r="920" spans="1:11" x14ac:dyDescent="0.3">
      <c r="A920" s="3" t="s">
        <v>528</v>
      </c>
      <c r="B920" t="s">
        <v>65</v>
      </c>
      <c r="C920" t="s">
        <v>214</v>
      </c>
      <c r="D920">
        <v>28</v>
      </c>
      <c r="E920" t="s">
        <v>11</v>
      </c>
      <c r="F920" t="s">
        <v>12</v>
      </c>
      <c r="G920" t="s">
        <v>192</v>
      </c>
      <c r="H920" s="1">
        <v>46023</v>
      </c>
      <c r="I920">
        <v>56</v>
      </c>
      <c r="J920" s="1" t="s">
        <v>541</v>
      </c>
      <c r="K920" t="str">
        <f t="shared" si="14"/>
        <v>Non-Expired</v>
      </c>
    </row>
    <row r="921" spans="1:11" x14ac:dyDescent="0.3">
      <c r="A921" s="3" t="s">
        <v>528</v>
      </c>
      <c r="B921" t="s">
        <v>90</v>
      </c>
      <c r="C921" t="s">
        <v>78</v>
      </c>
      <c r="D921">
        <v>25</v>
      </c>
      <c r="E921" t="s">
        <v>15</v>
      </c>
      <c r="F921" t="s">
        <v>16</v>
      </c>
      <c r="G921" t="s">
        <v>17</v>
      </c>
      <c r="H921" s="1">
        <v>46082</v>
      </c>
      <c r="I921">
        <v>75</v>
      </c>
      <c r="J921" s="1" t="s">
        <v>541</v>
      </c>
      <c r="K921" t="str">
        <f t="shared" si="14"/>
        <v>Non-Expired</v>
      </c>
    </row>
    <row r="922" spans="1:11" x14ac:dyDescent="0.3">
      <c r="A922" s="3" t="s">
        <v>529</v>
      </c>
      <c r="B922" t="s">
        <v>47</v>
      </c>
      <c r="C922" t="s">
        <v>40</v>
      </c>
      <c r="D922">
        <v>16</v>
      </c>
      <c r="E922" t="s">
        <v>20</v>
      </c>
      <c r="F922" t="s">
        <v>21</v>
      </c>
      <c r="G922" t="s">
        <v>179</v>
      </c>
      <c r="H922" s="1">
        <v>46631</v>
      </c>
      <c r="I922">
        <v>128</v>
      </c>
      <c r="J922" s="1" t="s">
        <v>541</v>
      </c>
      <c r="K922" t="str">
        <f t="shared" si="14"/>
        <v>Non-Expired</v>
      </c>
    </row>
    <row r="923" spans="1:11" x14ac:dyDescent="0.3">
      <c r="A923" s="3" t="s">
        <v>529</v>
      </c>
      <c r="B923" t="s">
        <v>39</v>
      </c>
      <c r="C923" t="s">
        <v>180</v>
      </c>
      <c r="D923">
        <v>17</v>
      </c>
      <c r="E923" t="s">
        <v>25</v>
      </c>
      <c r="F923" t="s">
        <v>26</v>
      </c>
      <c r="G923" t="s">
        <v>349</v>
      </c>
      <c r="H923" s="1">
        <v>46722</v>
      </c>
      <c r="I923">
        <v>51</v>
      </c>
      <c r="J923" s="1" t="s">
        <v>541</v>
      </c>
      <c r="K923" t="str">
        <f t="shared" si="14"/>
        <v>Non-Expired</v>
      </c>
    </row>
    <row r="924" spans="1:11" x14ac:dyDescent="0.3">
      <c r="A924" s="3" t="s">
        <v>529</v>
      </c>
      <c r="B924" t="s">
        <v>23</v>
      </c>
      <c r="C924" t="s">
        <v>10</v>
      </c>
      <c r="D924">
        <v>15</v>
      </c>
      <c r="E924" t="s">
        <v>28</v>
      </c>
      <c r="F924" t="s">
        <v>29</v>
      </c>
      <c r="G924" t="s">
        <v>324</v>
      </c>
      <c r="H924" s="1">
        <v>45717</v>
      </c>
      <c r="I924">
        <v>60</v>
      </c>
      <c r="J924" s="1" t="s">
        <v>541</v>
      </c>
      <c r="K924" t="str">
        <f t="shared" si="14"/>
        <v>Expired</v>
      </c>
    </row>
    <row r="925" spans="1:11" x14ac:dyDescent="0.3">
      <c r="A925" s="3" t="s">
        <v>529</v>
      </c>
      <c r="B925" t="s">
        <v>31</v>
      </c>
      <c r="C925" t="s">
        <v>32</v>
      </c>
      <c r="D925">
        <v>23</v>
      </c>
      <c r="E925" t="s">
        <v>33</v>
      </c>
      <c r="F925" t="s">
        <v>34</v>
      </c>
      <c r="G925" t="s">
        <v>419</v>
      </c>
      <c r="H925" s="1">
        <v>46478</v>
      </c>
      <c r="I925">
        <v>115</v>
      </c>
      <c r="J925" s="1" t="s">
        <v>541</v>
      </c>
      <c r="K925" t="str">
        <f t="shared" si="14"/>
        <v>Non-Expired</v>
      </c>
    </row>
    <row r="926" spans="1:11" x14ac:dyDescent="0.3">
      <c r="A926" s="3" t="s">
        <v>529</v>
      </c>
      <c r="B926" t="s">
        <v>80</v>
      </c>
      <c r="C926" t="s">
        <v>10</v>
      </c>
      <c r="D926">
        <v>25</v>
      </c>
      <c r="E926" t="s">
        <v>36</v>
      </c>
      <c r="F926" t="s">
        <v>37</v>
      </c>
      <c r="G926" t="s">
        <v>237</v>
      </c>
      <c r="H926" s="1">
        <v>45689</v>
      </c>
      <c r="I926">
        <v>150</v>
      </c>
      <c r="J926" s="1" t="s">
        <v>541</v>
      </c>
      <c r="K926" t="str">
        <f t="shared" si="14"/>
        <v>Expired</v>
      </c>
    </row>
    <row r="927" spans="1:11" x14ac:dyDescent="0.3">
      <c r="A927" s="3" t="s">
        <v>529</v>
      </c>
      <c r="B927" t="s">
        <v>18</v>
      </c>
      <c r="C927" t="s">
        <v>83</v>
      </c>
      <c r="D927">
        <v>10</v>
      </c>
      <c r="E927" t="s">
        <v>41</v>
      </c>
      <c r="F927" t="s">
        <v>12</v>
      </c>
      <c r="G927" t="s">
        <v>384</v>
      </c>
      <c r="H927" s="1">
        <v>46266</v>
      </c>
      <c r="I927">
        <v>40</v>
      </c>
      <c r="J927" s="1" t="s">
        <v>541</v>
      </c>
      <c r="K927" t="str">
        <f t="shared" si="14"/>
        <v>Non-Expired</v>
      </c>
    </row>
    <row r="928" spans="1:11" x14ac:dyDescent="0.3">
      <c r="A928" s="3" t="s">
        <v>529</v>
      </c>
      <c r="B928" t="s">
        <v>9</v>
      </c>
      <c r="C928" t="s">
        <v>44</v>
      </c>
      <c r="D928">
        <v>15</v>
      </c>
      <c r="E928" t="s">
        <v>45</v>
      </c>
      <c r="F928" t="s">
        <v>16</v>
      </c>
      <c r="G928" t="s">
        <v>46</v>
      </c>
      <c r="H928" s="1">
        <v>46143</v>
      </c>
      <c r="I928">
        <v>150</v>
      </c>
      <c r="J928" s="1" t="s">
        <v>541</v>
      </c>
      <c r="K928" t="str">
        <f t="shared" si="14"/>
        <v>Non-Expired</v>
      </c>
    </row>
    <row r="929" spans="1:11" x14ac:dyDescent="0.3">
      <c r="A929" s="3" t="s">
        <v>529</v>
      </c>
      <c r="B929" t="s">
        <v>85</v>
      </c>
      <c r="C929" t="s">
        <v>119</v>
      </c>
      <c r="D929">
        <v>9</v>
      </c>
      <c r="E929" t="s">
        <v>49</v>
      </c>
      <c r="F929" t="s">
        <v>50</v>
      </c>
      <c r="G929" t="s">
        <v>410</v>
      </c>
      <c r="H929" s="1">
        <v>46327</v>
      </c>
      <c r="I929">
        <v>45</v>
      </c>
      <c r="J929" s="1" t="s">
        <v>541</v>
      </c>
      <c r="K929" t="str">
        <f t="shared" si="14"/>
        <v>Non-Expired</v>
      </c>
    </row>
    <row r="930" spans="1:11" x14ac:dyDescent="0.3">
      <c r="A930" s="3" t="s">
        <v>530</v>
      </c>
      <c r="B930" t="s">
        <v>31</v>
      </c>
      <c r="C930" t="s">
        <v>128</v>
      </c>
      <c r="D930">
        <v>11</v>
      </c>
      <c r="E930" t="s">
        <v>52</v>
      </c>
      <c r="F930" t="s">
        <v>53</v>
      </c>
      <c r="G930" t="s">
        <v>116</v>
      </c>
      <c r="H930" s="1">
        <v>45901</v>
      </c>
      <c r="I930">
        <v>22</v>
      </c>
      <c r="J930" s="1" t="s">
        <v>541</v>
      </c>
      <c r="K930" t="str">
        <f t="shared" si="14"/>
        <v>Non-Expired</v>
      </c>
    </row>
    <row r="931" spans="1:11" x14ac:dyDescent="0.3">
      <c r="A931" s="3" t="s">
        <v>530</v>
      </c>
      <c r="B931" t="s">
        <v>31</v>
      </c>
      <c r="C931" t="s">
        <v>40</v>
      </c>
      <c r="D931">
        <v>2</v>
      </c>
      <c r="E931" t="s">
        <v>56</v>
      </c>
      <c r="F931" t="s">
        <v>53</v>
      </c>
      <c r="G931" t="s">
        <v>337</v>
      </c>
      <c r="H931" s="1">
        <v>46143</v>
      </c>
      <c r="I931">
        <v>20</v>
      </c>
      <c r="J931" s="1" t="s">
        <v>541</v>
      </c>
      <c r="K931" t="str">
        <f t="shared" si="14"/>
        <v>Non-Expired</v>
      </c>
    </row>
    <row r="932" spans="1:11" x14ac:dyDescent="0.3">
      <c r="A932" s="3" t="s">
        <v>530</v>
      </c>
      <c r="B932" t="s">
        <v>65</v>
      </c>
      <c r="C932" t="s">
        <v>40</v>
      </c>
      <c r="D932">
        <v>2</v>
      </c>
      <c r="E932" t="s">
        <v>60</v>
      </c>
      <c r="F932" t="s">
        <v>61</v>
      </c>
      <c r="G932" t="s">
        <v>292</v>
      </c>
      <c r="H932" s="1">
        <v>46174</v>
      </c>
      <c r="I932">
        <v>240</v>
      </c>
      <c r="J932" s="1" t="s">
        <v>541</v>
      </c>
      <c r="K932" t="str">
        <f t="shared" si="14"/>
        <v>Non-Expired</v>
      </c>
    </row>
    <row r="933" spans="1:11" x14ac:dyDescent="0.3">
      <c r="A933" s="3" t="s">
        <v>530</v>
      </c>
      <c r="B933" t="s">
        <v>31</v>
      </c>
      <c r="C933" t="s">
        <v>101</v>
      </c>
      <c r="D933">
        <v>5</v>
      </c>
      <c r="E933" t="s">
        <v>63</v>
      </c>
      <c r="F933" t="s">
        <v>50</v>
      </c>
      <c r="G933" t="s">
        <v>456</v>
      </c>
      <c r="H933" s="1">
        <v>45566</v>
      </c>
      <c r="I933">
        <v>100</v>
      </c>
      <c r="J933" s="1" t="s">
        <v>541</v>
      </c>
      <c r="K933" t="str">
        <f t="shared" si="14"/>
        <v>Expired</v>
      </c>
    </row>
    <row r="934" spans="1:11" x14ac:dyDescent="0.3">
      <c r="A934" s="3" t="s">
        <v>530</v>
      </c>
      <c r="B934" t="s">
        <v>39</v>
      </c>
      <c r="C934" t="s">
        <v>112</v>
      </c>
      <c r="D934">
        <v>4</v>
      </c>
      <c r="E934" t="s">
        <v>67</v>
      </c>
      <c r="F934" t="s">
        <v>68</v>
      </c>
      <c r="G934" t="s">
        <v>276</v>
      </c>
      <c r="H934" s="1">
        <v>46419</v>
      </c>
      <c r="I934">
        <v>120</v>
      </c>
      <c r="J934" s="1" t="s">
        <v>541</v>
      </c>
      <c r="K934" t="str">
        <f t="shared" si="14"/>
        <v>Non-Expired</v>
      </c>
    </row>
    <row r="935" spans="1:11" x14ac:dyDescent="0.3">
      <c r="A935" s="3" t="s">
        <v>530</v>
      </c>
      <c r="B935" t="s">
        <v>9</v>
      </c>
      <c r="C935" t="s">
        <v>170</v>
      </c>
      <c r="D935">
        <v>28</v>
      </c>
      <c r="E935" t="s">
        <v>71</v>
      </c>
      <c r="F935" t="s">
        <v>72</v>
      </c>
      <c r="G935" t="s">
        <v>426</v>
      </c>
      <c r="H935" s="1">
        <v>46419</v>
      </c>
      <c r="I935">
        <v>1120</v>
      </c>
      <c r="J935" s="1" t="s">
        <v>541</v>
      </c>
      <c r="K935" t="str">
        <f t="shared" si="14"/>
        <v>Non-Expired</v>
      </c>
    </row>
    <row r="936" spans="1:11" x14ac:dyDescent="0.3">
      <c r="A936" s="3" t="s">
        <v>530</v>
      </c>
      <c r="B936" t="s">
        <v>47</v>
      </c>
      <c r="C936" t="s">
        <v>24</v>
      </c>
      <c r="D936">
        <v>30</v>
      </c>
      <c r="E936" t="s">
        <v>75</v>
      </c>
      <c r="F936" t="s">
        <v>16</v>
      </c>
      <c r="G936" t="s">
        <v>104</v>
      </c>
      <c r="H936" s="1">
        <v>46235</v>
      </c>
      <c r="I936">
        <v>1500</v>
      </c>
      <c r="J936" s="1" t="s">
        <v>541</v>
      </c>
      <c r="K936" t="str">
        <f t="shared" si="14"/>
        <v>Non-Expired</v>
      </c>
    </row>
    <row r="937" spans="1:11" x14ac:dyDescent="0.3">
      <c r="A937" s="3" t="s">
        <v>530</v>
      </c>
      <c r="B937" t="s">
        <v>9</v>
      </c>
      <c r="C937" t="s">
        <v>210</v>
      </c>
      <c r="D937">
        <v>14</v>
      </c>
      <c r="E937" t="s">
        <v>11</v>
      </c>
      <c r="F937" t="s">
        <v>12</v>
      </c>
      <c r="G937" t="s">
        <v>263</v>
      </c>
      <c r="H937" s="1">
        <v>46082</v>
      </c>
      <c r="I937">
        <v>28</v>
      </c>
      <c r="J937" s="1" t="s">
        <v>541</v>
      </c>
      <c r="K937" t="str">
        <f t="shared" si="14"/>
        <v>Non-Expired</v>
      </c>
    </row>
    <row r="938" spans="1:11" x14ac:dyDescent="0.3">
      <c r="A938" s="3" t="s">
        <v>531</v>
      </c>
      <c r="B938" t="s">
        <v>23</v>
      </c>
      <c r="C938" t="s">
        <v>112</v>
      </c>
      <c r="D938">
        <v>13</v>
      </c>
      <c r="E938" t="s">
        <v>15</v>
      </c>
      <c r="F938" t="s">
        <v>16</v>
      </c>
      <c r="G938" t="s">
        <v>457</v>
      </c>
      <c r="H938" s="1">
        <v>46327</v>
      </c>
      <c r="I938">
        <v>39</v>
      </c>
      <c r="J938" s="1" t="s">
        <v>541</v>
      </c>
      <c r="K938" t="str">
        <f t="shared" si="14"/>
        <v>Non-Expired</v>
      </c>
    </row>
    <row r="939" spans="1:11" x14ac:dyDescent="0.3">
      <c r="A939" s="3" t="s">
        <v>531</v>
      </c>
      <c r="B939" t="s">
        <v>9</v>
      </c>
      <c r="C939" t="s">
        <v>131</v>
      </c>
      <c r="D939">
        <v>15</v>
      </c>
      <c r="E939" t="s">
        <v>20</v>
      </c>
      <c r="F939" t="s">
        <v>21</v>
      </c>
      <c r="G939" t="s">
        <v>436</v>
      </c>
      <c r="H939" s="1">
        <v>46722</v>
      </c>
      <c r="I939">
        <v>120</v>
      </c>
      <c r="J939" s="1" t="s">
        <v>541</v>
      </c>
      <c r="K939" t="str">
        <f t="shared" si="14"/>
        <v>Non-Expired</v>
      </c>
    </row>
    <row r="940" spans="1:11" x14ac:dyDescent="0.3">
      <c r="A940" s="3" t="s">
        <v>531</v>
      </c>
      <c r="B940" t="s">
        <v>43</v>
      </c>
      <c r="C940" t="s">
        <v>103</v>
      </c>
      <c r="D940">
        <v>4</v>
      </c>
      <c r="E940" t="s">
        <v>25</v>
      </c>
      <c r="F940" t="s">
        <v>26</v>
      </c>
      <c r="G940" t="s">
        <v>414</v>
      </c>
      <c r="H940" s="1">
        <v>46235</v>
      </c>
      <c r="I940">
        <v>12</v>
      </c>
      <c r="J940" s="1" t="s">
        <v>541</v>
      </c>
      <c r="K940" t="str">
        <f t="shared" si="14"/>
        <v>Non-Expired</v>
      </c>
    </row>
    <row r="941" spans="1:11" x14ac:dyDescent="0.3">
      <c r="A941" s="3" t="s">
        <v>531</v>
      </c>
      <c r="B941" t="s">
        <v>58</v>
      </c>
      <c r="C941" t="s">
        <v>119</v>
      </c>
      <c r="D941">
        <v>17</v>
      </c>
      <c r="E941" t="s">
        <v>28</v>
      </c>
      <c r="F941" t="s">
        <v>29</v>
      </c>
      <c r="G941" t="s">
        <v>343</v>
      </c>
      <c r="H941" s="1">
        <v>46235</v>
      </c>
      <c r="I941">
        <v>68</v>
      </c>
      <c r="J941" s="1" t="s">
        <v>541</v>
      </c>
      <c r="K941" t="str">
        <f t="shared" si="14"/>
        <v>Non-Expired</v>
      </c>
    </row>
    <row r="942" spans="1:11" x14ac:dyDescent="0.3">
      <c r="A942" s="3" t="s">
        <v>531</v>
      </c>
      <c r="B942" t="s">
        <v>31</v>
      </c>
      <c r="C942" t="s">
        <v>32</v>
      </c>
      <c r="D942">
        <v>8</v>
      </c>
      <c r="E942" t="s">
        <v>33</v>
      </c>
      <c r="F942" t="s">
        <v>34</v>
      </c>
      <c r="G942" t="s">
        <v>279</v>
      </c>
      <c r="H942" s="1">
        <v>45505</v>
      </c>
      <c r="I942">
        <v>40</v>
      </c>
      <c r="J942" s="1" t="s">
        <v>541</v>
      </c>
      <c r="K942" t="str">
        <f t="shared" si="14"/>
        <v>Expired</v>
      </c>
    </row>
    <row r="943" spans="1:11" x14ac:dyDescent="0.3">
      <c r="A943" s="3" t="s">
        <v>531</v>
      </c>
      <c r="B943" t="s">
        <v>31</v>
      </c>
      <c r="C943" t="s">
        <v>40</v>
      </c>
      <c r="D943">
        <v>17</v>
      </c>
      <c r="E943" t="s">
        <v>36</v>
      </c>
      <c r="F943" t="s">
        <v>37</v>
      </c>
      <c r="G943" t="s">
        <v>408</v>
      </c>
      <c r="H943" s="1">
        <v>46174</v>
      </c>
      <c r="I943">
        <v>102</v>
      </c>
      <c r="J943" s="1" t="s">
        <v>541</v>
      </c>
      <c r="K943" t="str">
        <f t="shared" si="14"/>
        <v>Non-Expired</v>
      </c>
    </row>
    <row r="944" spans="1:11" x14ac:dyDescent="0.3">
      <c r="A944" s="3" t="s">
        <v>531</v>
      </c>
      <c r="B944" t="s">
        <v>23</v>
      </c>
      <c r="C944" t="s">
        <v>128</v>
      </c>
      <c r="D944">
        <v>28</v>
      </c>
      <c r="E944" t="s">
        <v>41</v>
      </c>
      <c r="F944" t="s">
        <v>12</v>
      </c>
      <c r="G944" t="s">
        <v>305</v>
      </c>
      <c r="H944" s="1">
        <v>46357</v>
      </c>
      <c r="I944">
        <v>112</v>
      </c>
      <c r="J944" s="1" t="s">
        <v>541</v>
      </c>
      <c r="K944" t="str">
        <f t="shared" si="14"/>
        <v>Non-Expired</v>
      </c>
    </row>
    <row r="945" spans="1:11" x14ac:dyDescent="0.3">
      <c r="A945" s="3" t="s">
        <v>531</v>
      </c>
      <c r="B945" t="s">
        <v>43</v>
      </c>
      <c r="C945" t="s">
        <v>214</v>
      </c>
      <c r="D945">
        <v>20</v>
      </c>
      <c r="E945" t="s">
        <v>45</v>
      </c>
      <c r="F945" t="s">
        <v>16</v>
      </c>
      <c r="G945" t="s">
        <v>458</v>
      </c>
      <c r="H945" s="1">
        <v>46692</v>
      </c>
      <c r="I945">
        <v>200</v>
      </c>
      <c r="J945" s="1" t="s">
        <v>541</v>
      </c>
      <c r="K945" t="str">
        <f t="shared" si="14"/>
        <v>Non-Expired</v>
      </c>
    </row>
    <row r="946" spans="1:11" x14ac:dyDescent="0.3">
      <c r="A946" s="3" t="s">
        <v>532</v>
      </c>
      <c r="B946" t="s">
        <v>58</v>
      </c>
      <c r="C946" t="s">
        <v>128</v>
      </c>
      <c r="D946">
        <v>18</v>
      </c>
      <c r="E946" t="s">
        <v>49</v>
      </c>
      <c r="F946" t="s">
        <v>50</v>
      </c>
      <c r="G946" t="s">
        <v>272</v>
      </c>
      <c r="H946" s="1">
        <v>46508</v>
      </c>
      <c r="I946">
        <v>90</v>
      </c>
      <c r="J946" s="1" t="s">
        <v>541</v>
      </c>
      <c r="K946" t="str">
        <f t="shared" si="14"/>
        <v>Non-Expired</v>
      </c>
    </row>
    <row r="947" spans="1:11" x14ac:dyDescent="0.3">
      <c r="A947" s="3" t="s">
        <v>532</v>
      </c>
      <c r="B947" t="s">
        <v>9</v>
      </c>
      <c r="C947" t="s">
        <v>131</v>
      </c>
      <c r="D947">
        <v>14</v>
      </c>
      <c r="E947" t="s">
        <v>52</v>
      </c>
      <c r="F947" t="s">
        <v>53</v>
      </c>
      <c r="G947" t="s">
        <v>171</v>
      </c>
      <c r="H947" s="1">
        <v>46569</v>
      </c>
      <c r="I947">
        <v>28</v>
      </c>
      <c r="J947" s="1" t="s">
        <v>541</v>
      </c>
      <c r="K947" t="str">
        <f t="shared" si="14"/>
        <v>Non-Expired</v>
      </c>
    </row>
    <row r="948" spans="1:11" x14ac:dyDescent="0.3">
      <c r="A948" s="3" t="s">
        <v>532</v>
      </c>
      <c r="B948" t="s">
        <v>90</v>
      </c>
      <c r="C948" t="s">
        <v>14</v>
      </c>
      <c r="D948">
        <v>28</v>
      </c>
      <c r="E948" t="s">
        <v>56</v>
      </c>
      <c r="F948" t="s">
        <v>53</v>
      </c>
      <c r="G948" t="s">
        <v>229</v>
      </c>
      <c r="H948" s="1">
        <v>45658</v>
      </c>
      <c r="I948">
        <v>280</v>
      </c>
      <c r="J948" s="1" t="s">
        <v>541</v>
      </c>
      <c r="K948" t="str">
        <f t="shared" si="14"/>
        <v>Expired</v>
      </c>
    </row>
    <row r="949" spans="1:11" x14ac:dyDescent="0.3">
      <c r="A949" s="3" t="s">
        <v>532</v>
      </c>
      <c r="B949" t="s">
        <v>9</v>
      </c>
      <c r="C949" t="s">
        <v>162</v>
      </c>
      <c r="D949">
        <v>2</v>
      </c>
      <c r="E949" t="s">
        <v>60</v>
      </c>
      <c r="F949" t="s">
        <v>61</v>
      </c>
      <c r="G949" t="s">
        <v>365</v>
      </c>
      <c r="H949" s="1">
        <v>46569</v>
      </c>
      <c r="I949">
        <v>240</v>
      </c>
      <c r="J949" s="1" t="s">
        <v>541</v>
      </c>
      <c r="K949" t="str">
        <f t="shared" si="14"/>
        <v>Non-Expired</v>
      </c>
    </row>
    <row r="950" spans="1:11" x14ac:dyDescent="0.3">
      <c r="A950" s="3" t="s">
        <v>532</v>
      </c>
      <c r="B950" t="s">
        <v>9</v>
      </c>
      <c r="C950" t="s">
        <v>149</v>
      </c>
      <c r="D950">
        <v>11</v>
      </c>
      <c r="E950" t="s">
        <v>63</v>
      </c>
      <c r="F950" t="s">
        <v>50</v>
      </c>
      <c r="G950" t="s">
        <v>275</v>
      </c>
      <c r="H950" s="1">
        <v>46143</v>
      </c>
      <c r="I950">
        <v>220</v>
      </c>
      <c r="J950" s="1" t="s">
        <v>541</v>
      </c>
      <c r="K950" t="str">
        <f t="shared" si="14"/>
        <v>Non-Expired</v>
      </c>
    </row>
    <row r="951" spans="1:11" x14ac:dyDescent="0.3">
      <c r="A951" s="3" t="s">
        <v>532</v>
      </c>
      <c r="B951" t="s">
        <v>9</v>
      </c>
      <c r="C951" t="s">
        <v>154</v>
      </c>
      <c r="D951">
        <v>11</v>
      </c>
      <c r="E951" t="s">
        <v>67</v>
      </c>
      <c r="F951" t="s">
        <v>68</v>
      </c>
      <c r="G951" t="s">
        <v>69</v>
      </c>
      <c r="H951" s="1">
        <v>46174</v>
      </c>
      <c r="I951">
        <v>330</v>
      </c>
      <c r="J951" s="1" t="s">
        <v>541</v>
      </c>
      <c r="K951" t="str">
        <f t="shared" si="14"/>
        <v>Non-Expired</v>
      </c>
    </row>
    <row r="952" spans="1:11" x14ac:dyDescent="0.3">
      <c r="A952" s="3" t="s">
        <v>532</v>
      </c>
      <c r="B952" t="s">
        <v>58</v>
      </c>
      <c r="C952" t="s">
        <v>19</v>
      </c>
      <c r="D952">
        <v>16</v>
      </c>
      <c r="E952" t="s">
        <v>71</v>
      </c>
      <c r="F952" t="s">
        <v>72</v>
      </c>
      <c r="G952" t="s">
        <v>204</v>
      </c>
      <c r="H952" s="1">
        <v>46357</v>
      </c>
      <c r="I952">
        <v>640</v>
      </c>
      <c r="J952" s="1" t="s">
        <v>541</v>
      </c>
      <c r="K952" t="str">
        <f t="shared" si="14"/>
        <v>Non-Expired</v>
      </c>
    </row>
    <row r="953" spans="1:11" x14ac:dyDescent="0.3">
      <c r="A953" s="3" t="s">
        <v>532</v>
      </c>
      <c r="B953" t="s">
        <v>58</v>
      </c>
      <c r="C953" t="s">
        <v>119</v>
      </c>
      <c r="D953">
        <v>17</v>
      </c>
      <c r="E953" t="s">
        <v>75</v>
      </c>
      <c r="F953" t="s">
        <v>16</v>
      </c>
      <c r="G953" t="s">
        <v>387</v>
      </c>
      <c r="H953" s="1">
        <v>46631</v>
      </c>
      <c r="I953">
        <v>850</v>
      </c>
      <c r="J953" s="1" t="s">
        <v>541</v>
      </c>
      <c r="K953" t="str">
        <f t="shared" si="14"/>
        <v>Non-Expired</v>
      </c>
    </row>
    <row r="954" spans="1:11" x14ac:dyDescent="0.3">
      <c r="A954" s="3" t="s">
        <v>533</v>
      </c>
      <c r="B954" t="s">
        <v>65</v>
      </c>
      <c r="C954" t="s">
        <v>70</v>
      </c>
      <c r="D954">
        <v>22</v>
      </c>
      <c r="E954" t="s">
        <v>11</v>
      </c>
      <c r="F954" t="s">
        <v>12</v>
      </c>
      <c r="G954" t="s">
        <v>444</v>
      </c>
      <c r="H954" s="1">
        <v>45778</v>
      </c>
      <c r="I954">
        <v>44</v>
      </c>
      <c r="J954" s="1" t="s">
        <v>541</v>
      </c>
      <c r="K954" t="str">
        <f t="shared" si="14"/>
        <v>Expired</v>
      </c>
    </row>
    <row r="955" spans="1:11" x14ac:dyDescent="0.3">
      <c r="A955" s="3" t="s">
        <v>533</v>
      </c>
      <c r="B955" t="s">
        <v>9</v>
      </c>
      <c r="C955" t="s">
        <v>74</v>
      </c>
      <c r="D955">
        <v>16</v>
      </c>
      <c r="E955" t="s">
        <v>15</v>
      </c>
      <c r="F955" t="s">
        <v>16</v>
      </c>
      <c r="G955" t="s">
        <v>244</v>
      </c>
      <c r="H955" s="1">
        <v>45689</v>
      </c>
      <c r="I955">
        <v>48</v>
      </c>
      <c r="J955" s="1" t="s">
        <v>541</v>
      </c>
      <c r="K955" t="str">
        <f t="shared" si="14"/>
        <v>Expired</v>
      </c>
    </row>
    <row r="956" spans="1:11" x14ac:dyDescent="0.3">
      <c r="A956" s="3" t="s">
        <v>533</v>
      </c>
      <c r="B956" t="s">
        <v>92</v>
      </c>
      <c r="C956" t="s">
        <v>128</v>
      </c>
      <c r="D956">
        <v>9</v>
      </c>
      <c r="E956" t="s">
        <v>20</v>
      </c>
      <c r="F956" t="s">
        <v>21</v>
      </c>
      <c r="G956" t="s">
        <v>319</v>
      </c>
      <c r="H956" s="1">
        <v>46388</v>
      </c>
      <c r="I956">
        <v>72</v>
      </c>
      <c r="J956" s="1" t="s">
        <v>541</v>
      </c>
      <c r="K956" t="str">
        <f t="shared" si="14"/>
        <v>Non-Expired</v>
      </c>
    </row>
    <row r="957" spans="1:11" x14ac:dyDescent="0.3">
      <c r="A957" s="3" t="s">
        <v>533</v>
      </c>
      <c r="B957" t="s">
        <v>9</v>
      </c>
      <c r="C957" t="s">
        <v>40</v>
      </c>
      <c r="D957">
        <v>10</v>
      </c>
      <c r="E957" t="s">
        <v>25</v>
      </c>
      <c r="F957" t="s">
        <v>26</v>
      </c>
      <c r="G957" t="s">
        <v>224</v>
      </c>
      <c r="H957" s="1">
        <v>46722</v>
      </c>
      <c r="I957">
        <v>30</v>
      </c>
      <c r="J957" s="1" t="s">
        <v>541</v>
      </c>
      <c r="K957" t="str">
        <f t="shared" si="14"/>
        <v>Non-Expired</v>
      </c>
    </row>
    <row r="958" spans="1:11" x14ac:dyDescent="0.3">
      <c r="A958" s="3" t="s">
        <v>533</v>
      </c>
      <c r="B958" t="s">
        <v>65</v>
      </c>
      <c r="C958" t="s">
        <v>210</v>
      </c>
      <c r="D958">
        <v>1</v>
      </c>
      <c r="E958" t="s">
        <v>28</v>
      </c>
      <c r="F958" t="s">
        <v>29</v>
      </c>
      <c r="G958" t="s">
        <v>30</v>
      </c>
      <c r="H958" s="1">
        <v>46327</v>
      </c>
      <c r="I958">
        <v>4</v>
      </c>
      <c r="J958" s="1" t="s">
        <v>541</v>
      </c>
      <c r="K958" t="str">
        <f t="shared" si="14"/>
        <v>Non-Expired</v>
      </c>
    </row>
    <row r="959" spans="1:11" x14ac:dyDescent="0.3">
      <c r="A959" s="3" t="s">
        <v>533</v>
      </c>
      <c r="B959" t="s">
        <v>9</v>
      </c>
      <c r="C959" t="s">
        <v>19</v>
      </c>
      <c r="D959">
        <v>14</v>
      </c>
      <c r="E959" t="s">
        <v>33</v>
      </c>
      <c r="F959" t="s">
        <v>34</v>
      </c>
      <c r="G959" t="s">
        <v>378</v>
      </c>
      <c r="H959" s="1">
        <v>46419</v>
      </c>
      <c r="I959">
        <v>70</v>
      </c>
      <c r="J959" s="1" t="s">
        <v>541</v>
      </c>
      <c r="K959" t="str">
        <f t="shared" si="14"/>
        <v>Non-Expired</v>
      </c>
    </row>
    <row r="960" spans="1:11" x14ac:dyDescent="0.3">
      <c r="A960" s="3" t="s">
        <v>533</v>
      </c>
      <c r="B960" t="s">
        <v>80</v>
      </c>
      <c r="C960" t="s">
        <v>214</v>
      </c>
      <c r="D960">
        <v>2</v>
      </c>
      <c r="E960" t="s">
        <v>36</v>
      </c>
      <c r="F960" t="s">
        <v>37</v>
      </c>
      <c r="G960" t="s">
        <v>408</v>
      </c>
      <c r="H960" s="1">
        <v>46054</v>
      </c>
      <c r="I960">
        <v>12</v>
      </c>
      <c r="J960" s="1" t="s">
        <v>541</v>
      </c>
      <c r="K960" t="str">
        <f t="shared" si="14"/>
        <v>Non-Expired</v>
      </c>
    </row>
    <row r="961" spans="1:11" x14ac:dyDescent="0.3">
      <c r="A961" s="3" t="s">
        <v>533</v>
      </c>
      <c r="B961" t="s">
        <v>9</v>
      </c>
      <c r="C961" t="s">
        <v>99</v>
      </c>
      <c r="D961">
        <v>12</v>
      </c>
      <c r="E961" t="s">
        <v>41</v>
      </c>
      <c r="F961" t="s">
        <v>12</v>
      </c>
      <c r="G961" t="s">
        <v>42</v>
      </c>
      <c r="H961" s="1">
        <v>45748</v>
      </c>
      <c r="I961">
        <v>48</v>
      </c>
      <c r="J961" s="1" t="s">
        <v>541</v>
      </c>
      <c r="K961" t="str">
        <f t="shared" si="14"/>
        <v>Expired</v>
      </c>
    </row>
    <row r="962" spans="1:11" x14ac:dyDescent="0.3">
      <c r="A962" s="3">
        <v>45662</v>
      </c>
      <c r="B962" t="s">
        <v>9</v>
      </c>
      <c r="C962" t="s">
        <v>125</v>
      </c>
      <c r="D962">
        <v>26</v>
      </c>
      <c r="E962" t="s">
        <v>45</v>
      </c>
      <c r="F962" t="s">
        <v>16</v>
      </c>
      <c r="G962" t="s">
        <v>227</v>
      </c>
      <c r="H962" s="1">
        <v>46327</v>
      </c>
      <c r="I962">
        <v>260</v>
      </c>
      <c r="J962" s="1" t="s">
        <v>542</v>
      </c>
      <c r="K962" t="str">
        <f t="shared" si="14"/>
        <v>Non-Expired</v>
      </c>
    </row>
    <row r="963" spans="1:11" x14ac:dyDescent="0.3">
      <c r="A963" s="3">
        <v>45662</v>
      </c>
      <c r="B963" t="s">
        <v>43</v>
      </c>
      <c r="C963" t="s">
        <v>203</v>
      </c>
      <c r="D963">
        <v>13</v>
      </c>
      <c r="E963" t="s">
        <v>49</v>
      </c>
      <c r="F963" t="s">
        <v>50</v>
      </c>
      <c r="G963" t="s">
        <v>391</v>
      </c>
      <c r="H963" s="1">
        <v>46692</v>
      </c>
      <c r="I963">
        <v>65</v>
      </c>
      <c r="J963" s="1" t="s">
        <v>542</v>
      </c>
      <c r="K963" t="str">
        <f t="shared" ref="K963:K1001" si="15">IF(H963&lt;=DATE(2025,5,5),"Expired","Non-Expired")</f>
        <v>Non-Expired</v>
      </c>
    </row>
    <row r="964" spans="1:11" x14ac:dyDescent="0.3">
      <c r="A964" s="3">
        <v>45662</v>
      </c>
      <c r="B964" t="s">
        <v>31</v>
      </c>
      <c r="C964" t="s">
        <v>139</v>
      </c>
      <c r="D964">
        <v>26</v>
      </c>
      <c r="E964" t="s">
        <v>52</v>
      </c>
      <c r="F964" t="s">
        <v>53</v>
      </c>
      <c r="G964" t="s">
        <v>171</v>
      </c>
      <c r="H964" s="1">
        <v>46388</v>
      </c>
      <c r="I964">
        <v>52</v>
      </c>
      <c r="J964" s="1" t="s">
        <v>542</v>
      </c>
      <c r="K964" t="str">
        <f t="shared" si="15"/>
        <v>Non-Expired</v>
      </c>
    </row>
    <row r="965" spans="1:11" x14ac:dyDescent="0.3">
      <c r="A965" s="3">
        <v>45662</v>
      </c>
      <c r="B965" t="s">
        <v>65</v>
      </c>
      <c r="C965" t="s">
        <v>24</v>
      </c>
      <c r="D965">
        <v>7</v>
      </c>
      <c r="E965" t="s">
        <v>56</v>
      </c>
      <c r="F965" t="s">
        <v>53</v>
      </c>
      <c r="G965" t="s">
        <v>454</v>
      </c>
      <c r="H965" s="1">
        <v>45536</v>
      </c>
      <c r="I965">
        <v>70</v>
      </c>
      <c r="J965" s="1" t="s">
        <v>542</v>
      </c>
      <c r="K965" t="str">
        <f t="shared" si="15"/>
        <v>Expired</v>
      </c>
    </row>
    <row r="966" spans="1:11" x14ac:dyDescent="0.3">
      <c r="A966" s="3">
        <v>45662</v>
      </c>
      <c r="B966" t="s">
        <v>43</v>
      </c>
      <c r="C966" t="s">
        <v>19</v>
      </c>
      <c r="D966">
        <v>30</v>
      </c>
      <c r="E966" t="s">
        <v>60</v>
      </c>
      <c r="F966" t="s">
        <v>61</v>
      </c>
      <c r="G966" t="s">
        <v>188</v>
      </c>
      <c r="H966" s="1">
        <v>46204</v>
      </c>
      <c r="I966">
        <v>3600</v>
      </c>
      <c r="J966" s="1" t="s">
        <v>542</v>
      </c>
      <c r="K966" t="str">
        <f t="shared" si="15"/>
        <v>Non-Expired</v>
      </c>
    </row>
    <row r="967" spans="1:11" x14ac:dyDescent="0.3">
      <c r="A967" s="3">
        <v>45662</v>
      </c>
      <c r="B967" t="s">
        <v>9</v>
      </c>
      <c r="C967" t="s">
        <v>154</v>
      </c>
      <c r="D967">
        <v>30</v>
      </c>
      <c r="E967" t="s">
        <v>63</v>
      </c>
      <c r="F967" t="s">
        <v>50</v>
      </c>
      <c r="G967" t="s">
        <v>293</v>
      </c>
      <c r="H967" s="1">
        <v>46569</v>
      </c>
      <c r="I967">
        <v>600</v>
      </c>
      <c r="J967" s="1" t="s">
        <v>542</v>
      </c>
      <c r="K967" t="str">
        <f t="shared" si="15"/>
        <v>Non-Expired</v>
      </c>
    </row>
    <row r="968" spans="1:11" x14ac:dyDescent="0.3">
      <c r="A968" s="3">
        <v>45662</v>
      </c>
      <c r="B968" t="s">
        <v>47</v>
      </c>
      <c r="C968" t="s">
        <v>131</v>
      </c>
      <c r="D968">
        <v>16</v>
      </c>
      <c r="E968" t="s">
        <v>67</v>
      </c>
      <c r="F968" t="s">
        <v>68</v>
      </c>
      <c r="G968" t="s">
        <v>316</v>
      </c>
      <c r="H968" s="1">
        <v>46113</v>
      </c>
      <c r="I968">
        <v>480</v>
      </c>
      <c r="J968" s="1" t="s">
        <v>542</v>
      </c>
      <c r="K968" t="str">
        <f t="shared" si="15"/>
        <v>Non-Expired</v>
      </c>
    </row>
    <row r="969" spans="1:11" x14ac:dyDescent="0.3">
      <c r="A969" s="3">
        <v>45662</v>
      </c>
      <c r="B969" t="s">
        <v>9</v>
      </c>
      <c r="C969" t="s">
        <v>131</v>
      </c>
      <c r="D969">
        <v>6</v>
      </c>
      <c r="E969" t="s">
        <v>71</v>
      </c>
      <c r="F969" t="s">
        <v>72</v>
      </c>
      <c r="G969" t="s">
        <v>303</v>
      </c>
      <c r="H969" s="1">
        <v>46508</v>
      </c>
      <c r="I969">
        <v>240</v>
      </c>
      <c r="J969" s="1" t="s">
        <v>542</v>
      </c>
      <c r="K969" t="str">
        <f t="shared" si="15"/>
        <v>Non-Expired</v>
      </c>
    </row>
    <row r="970" spans="1:11" x14ac:dyDescent="0.3">
      <c r="A970" s="3">
        <v>45693</v>
      </c>
      <c r="B970" t="s">
        <v>58</v>
      </c>
      <c r="C970" t="s">
        <v>112</v>
      </c>
      <c r="D970">
        <v>1</v>
      </c>
      <c r="E970" t="s">
        <v>75</v>
      </c>
      <c r="F970" t="s">
        <v>16</v>
      </c>
      <c r="G970" t="s">
        <v>123</v>
      </c>
      <c r="H970" s="1">
        <v>46113</v>
      </c>
      <c r="I970">
        <v>50</v>
      </c>
      <c r="J970" s="1" t="s">
        <v>542</v>
      </c>
      <c r="K970" t="str">
        <f t="shared" si="15"/>
        <v>Non-Expired</v>
      </c>
    </row>
    <row r="971" spans="1:11" x14ac:dyDescent="0.3">
      <c r="A971" s="3">
        <v>45693</v>
      </c>
      <c r="B971" t="s">
        <v>9</v>
      </c>
      <c r="C971" t="s">
        <v>125</v>
      </c>
      <c r="D971">
        <v>8</v>
      </c>
      <c r="E971" t="s">
        <v>11</v>
      </c>
      <c r="F971" t="s">
        <v>12</v>
      </c>
      <c r="G971" t="s">
        <v>221</v>
      </c>
      <c r="H971" s="1">
        <v>45505</v>
      </c>
      <c r="I971">
        <v>16</v>
      </c>
      <c r="J971" s="1" t="s">
        <v>542</v>
      </c>
      <c r="K971" t="str">
        <f t="shared" si="15"/>
        <v>Expired</v>
      </c>
    </row>
    <row r="972" spans="1:11" x14ac:dyDescent="0.3">
      <c r="A972" s="3">
        <v>45693</v>
      </c>
      <c r="B972" t="s">
        <v>43</v>
      </c>
      <c r="C972" t="s">
        <v>55</v>
      </c>
      <c r="D972">
        <v>1</v>
      </c>
      <c r="E972" t="s">
        <v>15</v>
      </c>
      <c r="F972" t="s">
        <v>16</v>
      </c>
      <c r="G972" t="s">
        <v>353</v>
      </c>
      <c r="H972" s="1">
        <v>46478</v>
      </c>
      <c r="I972">
        <v>3</v>
      </c>
      <c r="J972" s="1" t="s">
        <v>542</v>
      </c>
      <c r="K972" t="str">
        <f t="shared" si="15"/>
        <v>Non-Expired</v>
      </c>
    </row>
    <row r="973" spans="1:11" x14ac:dyDescent="0.3">
      <c r="A973" s="3">
        <v>45693</v>
      </c>
      <c r="B973" t="s">
        <v>9</v>
      </c>
      <c r="C973" t="s">
        <v>99</v>
      </c>
      <c r="D973">
        <v>30</v>
      </c>
      <c r="E973" t="s">
        <v>20</v>
      </c>
      <c r="F973" t="s">
        <v>21</v>
      </c>
      <c r="G973" t="s">
        <v>245</v>
      </c>
      <c r="H973" s="1">
        <v>46388</v>
      </c>
      <c r="I973">
        <v>240</v>
      </c>
      <c r="J973" s="1" t="s">
        <v>542</v>
      </c>
      <c r="K973" t="str">
        <f t="shared" si="15"/>
        <v>Non-Expired</v>
      </c>
    </row>
    <row r="974" spans="1:11" x14ac:dyDescent="0.3">
      <c r="A974" s="3">
        <v>45693</v>
      </c>
      <c r="B974" t="s">
        <v>9</v>
      </c>
      <c r="C974" t="s">
        <v>40</v>
      </c>
      <c r="D974">
        <v>2</v>
      </c>
      <c r="E974" t="s">
        <v>25</v>
      </c>
      <c r="F974" t="s">
        <v>26</v>
      </c>
      <c r="G974" t="s">
        <v>234</v>
      </c>
      <c r="H974" s="1">
        <v>46631</v>
      </c>
      <c r="I974">
        <v>6</v>
      </c>
      <c r="J974" s="1" t="s">
        <v>542</v>
      </c>
      <c r="K974" t="str">
        <f t="shared" si="15"/>
        <v>Non-Expired</v>
      </c>
    </row>
    <row r="975" spans="1:11" x14ac:dyDescent="0.3">
      <c r="A975" s="3">
        <v>45693</v>
      </c>
      <c r="B975" t="s">
        <v>47</v>
      </c>
      <c r="C975" t="s">
        <v>55</v>
      </c>
      <c r="D975">
        <v>9</v>
      </c>
      <c r="E975" t="s">
        <v>28</v>
      </c>
      <c r="F975" t="s">
        <v>29</v>
      </c>
      <c r="G975" t="s">
        <v>354</v>
      </c>
      <c r="H975" s="1">
        <v>46296</v>
      </c>
      <c r="I975">
        <v>36</v>
      </c>
      <c r="J975" s="1" t="s">
        <v>542</v>
      </c>
      <c r="K975" t="str">
        <f t="shared" si="15"/>
        <v>Non-Expired</v>
      </c>
    </row>
    <row r="976" spans="1:11" x14ac:dyDescent="0.3">
      <c r="A976" s="3">
        <v>45693</v>
      </c>
      <c r="B976" t="s">
        <v>58</v>
      </c>
      <c r="C976" t="s">
        <v>78</v>
      </c>
      <c r="D976">
        <v>2</v>
      </c>
      <c r="E976" t="s">
        <v>33</v>
      </c>
      <c r="F976" t="s">
        <v>34</v>
      </c>
      <c r="G976" t="s">
        <v>378</v>
      </c>
      <c r="H976" s="1">
        <v>45505</v>
      </c>
      <c r="I976">
        <v>10</v>
      </c>
      <c r="J976" s="1" t="s">
        <v>542</v>
      </c>
      <c r="K976" t="str">
        <f t="shared" si="15"/>
        <v>Expired</v>
      </c>
    </row>
    <row r="977" spans="1:11" x14ac:dyDescent="0.3">
      <c r="A977" s="3">
        <v>45693</v>
      </c>
      <c r="B977" t="s">
        <v>39</v>
      </c>
      <c r="C977" t="s">
        <v>19</v>
      </c>
      <c r="D977">
        <v>29</v>
      </c>
      <c r="E977" t="s">
        <v>36</v>
      </c>
      <c r="F977" t="s">
        <v>37</v>
      </c>
      <c r="G977" t="s">
        <v>344</v>
      </c>
      <c r="H977" s="1">
        <v>46692</v>
      </c>
      <c r="I977">
        <v>174</v>
      </c>
      <c r="J977" s="1" t="s">
        <v>542</v>
      </c>
      <c r="K977" t="str">
        <f t="shared" si="15"/>
        <v>Non-Expired</v>
      </c>
    </row>
    <row r="978" spans="1:11" x14ac:dyDescent="0.3">
      <c r="A978" s="3">
        <v>45721</v>
      </c>
      <c r="B978" t="s">
        <v>18</v>
      </c>
      <c r="C978" t="s">
        <v>74</v>
      </c>
      <c r="D978">
        <v>20</v>
      </c>
      <c r="E978" t="s">
        <v>41</v>
      </c>
      <c r="F978" t="s">
        <v>12</v>
      </c>
      <c r="G978" t="s">
        <v>384</v>
      </c>
      <c r="H978" s="1">
        <v>45413</v>
      </c>
      <c r="I978">
        <v>80</v>
      </c>
      <c r="J978" s="1" t="s">
        <v>542</v>
      </c>
      <c r="K978" t="str">
        <f t="shared" si="15"/>
        <v>Expired</v>
      </c>
    </row>
    <row r="979" spans="1:11" x14ac:dyDescent="0.3">
      <c r="A979" s="3">
        <v>45721</v>
      </c>
      <c r="B979" t="s">
        <v>9</v>
      </c>
      <c r="C979" t="s">
        <v>149</v>
      </c>
      <c r="D979">
        <v>5</v>
      </c>
      <c r="E979" t="s">
        <v>45</v>
      </c>
      <c r="F979" t="s">
        <v>16</v>
      </c>
      <c r="G979" t="s">
        <v>416</v>
      </c>
      <c r="H979" s="1">
        <v>46631</v>
      </c>
      <c r="I979">
        <v>50</v>
      </c>
      <c r="J979" s="1" t="s">
        <v>542</v>
      </c>
      <c r="K979" t="str">
        <f t="shared" si="15"/>
        <v>Non-Expired</v>
      </c>
    </row>
    <row r="980" spans="1:11" x14ac:dyDescent="0.3">
      <c r="A980" s="3">
        <v>45721</v>
      </c>
      <c r="B980" t="s">
        <v>9</v>
      </c>
      <c r="C980" t="s">
        <v>149</v>
      </c>
      <c r="D980">
        <v>24</v>
      </c>
      <c r="E980" t="s">
        <v>49</v>
      </c>
      <c r="F980" t="s">
        <v>50</v>
      </c>
      <c r="G980" t="s">
        <v>391</v>
      </c>
      <c r="H980" s="1">
        <v>46235</v>
      </c>
      <c r="I980">
        <v>120</v>
      </c>
      <c r="J980" s="1" t="s">
        <v>542</v>
      </c>
      <c r="K980" t="str">
        <f t="shared" si="15"/>
        <v>Non-Expired</v>
      </c>
    </row>
    <row r="981" spans="1:11" x14ac:dyDescent="0.3">
      <c r="A981" s="3">
        <v>45721</v>
      </c>
      <c r="B981" t="s">
        <v>92</v>
      </c>
      <c r="C981" t="s">
        <v>170</v>
      </c>
      <c r="D981">
        <v>14</v>
      </c>
      <c r="E981" t="s">
        <v>52</v>
      </c>
      <c r="F981" t="s">
        <v>53</v>
      </c>
      <c r="G981" t="s">
        <v>186</v>
      </c>
      <c r="H981" s="1">
        <v>46539</v>
      </c>
      <c r="I981">
        <v>28</v>
      </c>
      <c r="J981" s="1" t="s">
        <v>542</v>
      </c>
      <c r="K981" t="str">
        <f t="shared" si="15"/>
        <v>Non-Expired</v>
      </c>
    </row>
    <row r="982" spans="1:11" x14ac:dyDescent="0.3">
      <c r="A982" s="3">
        <v>45721</v>
      </c>
      <c r="B982" t="s">
        <v>65</v>
      </c>
      <c r="C982" t="s">
        <v>203</v>
      </c>
      <c r="D982">
        <v>27</v>
      </c>
      <c r="E982" t="s">
        <v>56</v>
      </c>
      <c r="F982" t="s">
        <v>53</v>
      </c>
      <c r="G982" t="s">
        <v>229</v>
      </c>
      <c r="H982" s="1">
        <v>46478</v>
      </c>
      <c r="I982">
        <v>270</v>
      </c>
      <c r="J982" s="1" t="s">
        <v>542</v>
      </c>
      <c r="K982" t="str">
        <f t="shared" si="15"/>
        <v>Non-Expired</v>
      </c>
    </row>
    <row r="983" spans="1:11" x14ac:dyDescent="0.3">
      <c r="A983" s="3">
        <v>45721</v>
      </c>
      <c r="B983" t="s">
        <v>9</v>
      </c>
      <c r="C983" t="s">
        <v>173</v>
      </c>
      <c r="D983">
        <v>12</v>
      </c>
      <c r="E983" t="s">
        <v>60</v>
      </c>
      <c r="F983" t="s">
        <v>61</v>
      </c>
      <c r="G983" t="s">
        <v>292</v>
      </c>
      <c r="H983" s="1">
        <v>45444</v>
      </c>
      <c r="I983">
        <v>1440</v>
      </c>
      <c r="J983" s="1" t="s">
        <v>542</v>
      </c>
      <c r="K983" t="str">
        <f t="shared" si="15"/>
        <v>Expired</v>
      </c>
    </row>
    <row r="984" spans="1:11" x14ac:dyDescent="0.3">
      <c r="A984" s="3">
        <v>45721</v>
      </c>
      <c r="B984" t="s">
        <v>80</v>
      </c>
      <c r="C984" t="s">
        <v>149</v>
      </c>
      <c r="D984">
        <v>9</v>
      </c>
      <c r="E984" t="s">
        <v>63</v>
      </c>
      <c r="F984" t="s">
        <v>50</v>
      </c>
      <c r="G984" t="s">
        <v>402</v>
      </c>
      <c r="H984" s="1">
        <v>46174</v>
      </c>
      <c r="I984">
        <v>180</v>
      </c>
      <c r="J984" s="1" t="s">
        <v>542</v>
      </c>
      <c r="K984" t="str">
        <f t="shared" si="15"/>
        <v>Non-Expired</v>
      </c>
    </row>
    <row r="985" spans="1:11" x14ac:dyDescent="0.3">
      <c r="A985" s="3">
        <v>45721</v>
      </c>
      <c r="B985" t="s">
        <v>23</v>
      </c>
      <c r="C985" t="s">
        <v>59</v>
      </c>
      <c r="D985">
        <v>6</v>
      </c>
      <c r="E985" t="s">
        <v>67</v>
      </c>
      <c r="F985" t="s">
        <v>68</v>
      </c>
      <c r="G985" t="s">
        <v>159</v>
      </c>
      <c r="H985" s="1">
        <v>46143</v>
      </c>
      <c r="I985">
        <v>180</v>
      </c>
      <c r="J985" s="1" t="s">
        <v>542</v>
      </c>
      <c r="K985" t="str">
        <f t="shared" si="15"/>
        <v>Non-Expired</v>
      </c>
    </row>
    <row r="986" spans="1:11" x14ac:dyDescent="0.3">
      <c r="A986" s="3">
        <v>45752</v>
      </c>
      <c r="B986" t="s">
        <v>9</v>
      </c>
      <c r="C986" t="s">
        <v>154</v>
      </c>
      <c r="D986">
        <v>10</v>
      </c>
      <c r="E986" t="s">
        <v>71</v>
      </c>
      <c r="F986" t="s">
        <v>72</v>
      </c>
      <c r="G986" t="s">
        <v>102</v>
      </c>
      <c r="H986" s="1">
        <v>46784</v>
      </c>
      <c r="I986">
        <v>400</v>
      </c>
      <c r="J986" s="1" t="s">
        <v>542</v>
      </c>
      <c r="K986" t="str">
        <f t="shared" si="15"/>
        <v>Non-Expired</v>
      </c>
    </row>
    <row r="987" spans="1:11" x14ac:dyDescent="0.3">
      <c r="A987" s="3">
        <v>45752</v>
      </c>
      <c r="B987" t="s">
        <v>92</v>
      </c>
      <c r="C987" t="s">
        <v>119</v>
      </c>
      <c r="D987">
        <v>12</v>
      </c>
      <c r="E987" t="s">
        <v>75</v>
      </c>
      <c r="F987" t="s">
        <v>16</v>
      </c>
      <c r="G987" t="s">
        <v>205</v>
      </c>
      <c r="H987" s="1">
        <v>46174</v>
      </c>
      <c r="I987">
        <v>600</v>
      </c>
      <c r="J987" s="1" t="s">
        <v>542</v>
      </c>
      <c r="K987" t="str">
        <f t="shared" si="15"/>
        <v>Non-Expired</v>
      </c>
    </row>
    <row r="988" spans="1:11" x14ac:dyDescent="0.3">
      <c r="A988" s="3">
        <v>45752</v>
      </c>
      <c r="B988" t="s">
        <v>31</v>
      </c>
      <c r="C988" t="s">
        <v>55</v>
      </c>
      <c r="D988">
        <v>24</v>
      </c>
      <c r="E988" t="s">
        <v>11</v>
      </c>
      <c r="F988" t="s">
        <v>12</v>
      </c>
      <c r="G988" t="s">
        <v>459</v>
      </c>
      <c r="H988" s="1">
        <v>45474</v>
      </c>
      <c r="I988">
        <v>48</v>
      </c>
      <c r="J988" s="1" t="s">
        <v>542</v>
      </c>
      <c r="K988" t="str">
        <f t="shared" si="15"/>
        <v>Expired</v>
      </c>
    </row>
    <row r="989" spans="1:11" x14ac:dyDescent="0.3">
      <c r="A989" s="3">
        <v>45752</v>
      </c>
      <c r="B989" t="s">
        <v>18</v>
      </c>
      <c r="C989" t="s">
        <v>88</v>
      </c>
      <c r="D989">
        <v>13</v>
      </c>
      <c r="E989" t="s">
        <v>15</v>
      </c>
      <c r="F989" t="s">
        <v>16</v>
      </c>
      <c r="G989" t="s">
        <v>341</v>
      </c>
      <c r="H989" s="1">
        <v>46447</v>
      </c>
      <c r="I989">
        <v>39</v>
      </c>
      <c r="J989" s="1" t="s">
        <v>542</v>
      </c>
      <c r="K989" t="str">
        <f t="shared" si="15"/>
        <v>Non-Expired</v>
      </c>
    </row>
    <row r="990" spans="1:11" x14ac:dyDescent="0.3">
      <c r="A990" s="3">
        <v>45752</v>
      </c>
      <c r="B990" t="s">
        <v>18</v>
      </c>
      <c r="C990" t="s">
        <v>44</v>
      </c>
      <c r="D990">
        <v>14</v>
      </c>
      <c r="E990" t="s">
        <v>20</v>
      </c>
      <c r="F990" t="s">
        <v>21</v>
      </c>
      <c r="G990" t="s">
        <v>460</v>
      </c>
      <c r="H990" s="1">
        <v>46478</v>
      </c>
      <c r="I990">
        <v>112</v>
      </c>
      <c r="J990" s="1" t="s">
        <v>542</v>
      </c>
      <c r="K990" t="str">
        <f t="shared" si="15"/>
        <v>Non-Expired</v>
      </c>
    </row>
    <row r="991" spans="1:11" x14ac:dyDescent="0.3">
      <c r="A991" s="3">
        <v>45752</v>
      </c>
      <c r="B991" t="s">
        <v>43</v>
      </c>
      <c r="C991" t="s">
        <v>125</v>
      </c>
      <c r="D991">
        <v>10</v>
      </c>
      <c r="E991" t="s">
        <v>25</v>
      </c>
      <c r="F991" t="s">
        <v>26</v>
      </c>
      <c r="G991" t="s">
        <v>269</v>
      </c>
      <c r="H991" s="1">
        <v>46296</v>
      </c>
      <c r="I991">
        <v>30</v>
      </c>
      <c r="J991" s="1" t="s">
        <v>542</v>
      </c>
      <c r="K991" t="str">
        <f t="shared" si="15"/>
        <v>Non-Expired</v>
      </c>
    </row>
    <row r="992" spans="1:11" x14ac:dyDescent="0.3">
      <c r="A992" s="3">
        <v>45752</v>
      </c>
      <c r="B992" t="s">
        <v>31</v>
      </c>
      <c r="C992" t="s">
        <v>70</v>
      </c>
      <c r="D992">
        <v>27</v>
      </c>
      <c r="E992" t="s">
        <v>28</v>
      </c>
      <c r="F992" t="s">
        <v>29</v>
      </c>
      <c r="G992" t="s">
        <v>461</v>
      </c>
      <c r="H992" s="1">
        <v>45474</v>
      </c>
      <c r="I992">
        <v>108</v>
      </c>
      <c r="J992" s="1" t="s">
        <v>542</v>
      </c>
      <c r="K992" t="str">
        <f t="shared" si="15"/>
        <v>Expired</v>
      </c>
    </row>
    <row r="993" spans="1:11" x14ac:dyDescent="0.3">
      <c r="A993" s="3">
        <v>45752</v>
      </c>
      <c r="B993" t="s">
        <v>9</v>
      </c>
      <c r="C993" t="s">
        <v>107</v>
      </c>
      <c r="D993">
        <v>19</v>
      </c>
      <c r="E993" t="s">
        <v>33</v>
      </c>
      <c r="F993" t="s">
        <v>34</v>
      </c>
      <c r="G993" t="s">
        <v>333</v>
      </c>
      <c r="H993" s="1">
        <v>46631</v>
      </c>
      <c r="I993">
        <v>95</v>
      </c>
      <c r="J993" s="1" t="s">
        <v>542</v>
      </c>
      <c r="K993" t="str">
        <f t="shared" si="15"/>
        <v>Non-Expired</v>
      </c>
    </row>
    <row r="994" spans="1:11" x14ac:dyDescent="0.3">
      <c r="A994" s="3">
        <v>45782</v>
      </c>
      <c r="B994" t="s">
        <v>85</v>
      </c>
      <c r="C994" t="s">
        <v>214</v>
      </c>
      <c r="D994">
        <v>15</v>
      </c>
      <c r="E994" t="s">
        <v>36</v>
      </c>
      <c r="F994" t="s">
        <v>37</v>
      </c>
      <c r="G994" t="s">
        <v>182</v>
      </c>
      <c r="H994" s="1">
        <v>46296</v>
      </c>
      <c r="I994">
        <v>90</v>
      </c>
      <c r="J994" s="1" t="s">
        <v>542</v>
      </c>
      <c r="K994" t="str">
        <f t="shared" si="15"/>
        <v>Non-Expired</v>
      </c>
    </row>
    <row r="995" spans="1:11" x14ac:dyDescent="0.3">
      <c r="A995" s="3">
        <v>45782</v>
      </c>
      <c r="B995" t="s">
        <v>65</v>
      </c>
      <c r="C995" t="s">
        <v>107</v>
      </c>
      <c r="D995">
        <v>17</v>
      </c>
      <c r="E995" t="s">
        <v>41</v>
      </c>
      <c r="F995" t="s">
        <v>12</v>
      </c>
      <c r="G995" t="s">
        <v>363</v>
      </c>
      <c r="H995" s="1">
        <v>46600</v>
      </c>
      <c r="I995">
        <v>68</v>
      </c>
      <c r="J995" s="1" t="s">
        <v>542</v>
      </c>
      <c r="K995" t="str">
        <f t="shared" si="15"/>
        <v>Non-Expired</v>
      </c>
    </row>
    <row r="996" spans="1:11" x14ac:dyDescent="0.3">
      <c r="A996" s="3">
        <v>45782</v>
      </c>
      <c r="B996" t="s">
        <v>9</v>
      </c>
      <c r="C996" t="s">
        <v>74</v>
      </c>
      <c r="D996">
        <v>2</v>
      </c>
      <c r="E996" t="s">
        <v>45</v>
      </c>
      <c r="F996" t="s">
        <v>16</v>
      </c>
      <c r="G996" t="s">
        <v>458</v>
      </c>
      <c r="H996" s="1">
        <v>46447</v>
      </c>
      <c r="I996">
        <v>20</v>
      </c>
      <c r="J996" s="1" t="s">
        <v>542</v>
      </c>
      <c r="K996" t="str">
        <f t="shared" si="15"/>
        <v>Non-Expired</v>
      </c>
    </row>
    <row r="997" spans="1:11" x14ac:dyDescent="0.3">
      <c r="A997" s="3">
        <v>45782</v>
      </c>
      <c r="B997" t="s">
        <v>58</v>
      </c>
      <c r="C997" t="s">
        <v>40</v>
      </c>
      <c r="D997">
        <v>5</v>
      </c>
      <c r="E997" t="s">
        <v>49</v>
      </c>
      <c r="F997" t="s">
        <v>50</v>
      </c>
      <c r="G997" t="s">
        <v>449</v>
      </c>
      <c r="H997" s="1">
        <v>46266</v>
      </c>
      <c r="I997">
        <v>25</v>
      </c>
      <c r="J997" s="1" t="s">
        <v>542</v>
      </c>
      <c r="K997" t="str">
        <f t="shared" si="15"/>
        <v>Non-Expired</v>
      </c>
    </row>
    <row r="998" spans="1:11" x14ac:dyDescent="0.3">
      <c r="A998" s="3">
        <v>45782</v>
      </c>
      <c r="B998" t="s">
        <v>43</v>
      </c>
      <c r="C998" t="s">
        <v>40</v>
      </c>
      <c r="D998">
        <v>29</v>
      </c>
      <c r="E998" t="s">
        <v>52</v>
      </c>
      <c r="F998" t="s">
        <v>53</v>
      </c>
      <c r="G998" t="s">
        <v>94</v>
      </c>
      <c r="H998" s="1">
        <v>46722</v>
      </c>
      <c r="I998">
        <v>58</v>
      </c>
      <c r="J998" s="1" t="s">
        <v>542</v>
      </c>
      <c r="K998" t="str">
        <f t="shared" si="15"/>
        <v>Non-Expired</v>
      </c>
    </row>
    <row r="999" spans="1:11" x14ac:dyDescent="0.3">
      <c r="A999" s="3">
        <v>45782</v>
      </c>
      <c r="B999" t="s">
        <v>18</v>
      </c>
      <c r="C999" t="s">
        <v>112</v>
      </c>
      <c r="D999">
        <v>9</v>
      </c>
      <c r="E999" t="s">
        <v>56</v>
      </c>
      <c r="F999" t="s">
        <v>53</v>
      </c>
      <c r="G999" t="s">
        <v>337</v>
      </c>
      <c r="H999" s="1">
        <v>45717</v>
      </c>
      <c r="I999">
        <v>90</v>
      </c>
      <c r="J999" s="1" t="s">
        <v>542</v>
      </c>
      <c r="K999" t="str">
        <f t="shared" si="15"/>
        <v>Expired</v>
      </c>
    </row>
    <row r="1000" spans="1:11" x14ac:dyDescent="0.3">
      <c r="A1000" s="3">
        <v>45782</v>
      </c>
      <c r="B1000" t="s">
        <v>23</v>
      </c>
      <c r="C1000" t="s">
        <v>78</v>
      </c>
      <c r="D1000">
        <v>18</v>
      </c>
      <c r="E1000" t="s">
        <v>60</v>
      </c>
      <c r="F1000" t="s">
        <v>61</v>
      </c>
      <c r="G1000" t="s">
        <v>200</v>
      </c>
      <c r="H1000" s="1">
        <v>45748</v>
      </c>
      <c r="I1000">
        <v>2160</v>
      </c>
      <c r="J1000" s="1" t="s">
        <v>542</v>
      </c>
      <c r="K1000" t="str">
        <f t="shared" si="15"/>
        <v>Expired</v>
      </c>
    </row>
    <row r="1001" spans="1:11" x14ac:dyDescent="0.3">
      <c r="A1001" s="3">
        <v>45782</v>
      </c>
      <c r="B1001" t="s">
        <v>97</v>
      </c>
      <c r="C1001" t="s">
        <v>40</v>
      </c>
      <c r="D1001">
        <v>16</v>
      </c>
      <c r="E1001" t="s">
        <v>63</v>
      </c>
      <c r="F1001" t="s">
        <v>50</v>
      </c>
      <c r="G1001" t="s">
        <v>376</v>
      </c>
      <c r="H1001" s="1">
        <v>46722</v>
      </c>
      <c r="I1001">
        <v>320</v>
      </c>
      <c r="J1001" s="1" t="s">
        <v>542</v>
      </c>
      <c r="K1001" t="str">
        <f t="shared" si="15"/>
        <v>Non-Expired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Daily_Revenue_Trend</vt:lpstr>
      <vt:lpstr>Monthly_Revenue_Summary</vt:lpstr>
      <vt:lpstr>Top10_Medicines_Revenue</vt:lpstr>
      <vt:lpstr>Top10_Medicines_Quantity</vt:lpstr>
      <vt:lpstr>Key_Stats_Value</vt:lpstr>
      <vt:lpstr>ABC_Analysis_of_Medicines</vt:lpstr>
      <vt:lpstr>Medicine_Stock_Analysis</vt:lpstr>
      <vt:lpstr>shri_balaji_pharmacy_dataset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Paras Dhaka</cp:lastModifiedBy>
  <dcterms:created xsi:type="dcterms:W3CDTF">2025-07-07T15:58:38Z</dcterms:created>
  <dcterms:modified xsi:type="dcterms:W3CDTF">2025-08-05T17:52:20Z</dcterms:modified>
</cp:coreProperties>
</file>